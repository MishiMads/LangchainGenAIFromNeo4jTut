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nj-7\Medialogi\LangchainGenAIFromNeo4jTut\genai-integration-langchain\Scripts\CurriculumTestScriptsAndData\"/>
    </mc:Choice>
  </mc:AlternateContent>
  <xr:revisionPtr revIDLastSave="0" documentId="13_ncr:1_{A00189DB-2BE1-4791-BC2F-E538153903A6}"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 i="2" l="1"/>
  <c r="I37" i="2"/>
  <c r="G37" i="2"/>
  <c r="F37" i="2"/>
  <c r="E37" i="2"/>
  <c r="D37" i="2"/>
  <c r="C37" i="2"/>
  <c r="B37" i="2"/>
</calcChain>
</file>

<file path=xl/sharedStrings.xml><?xml version="1.0" encoding="utf-8"?>
<sst xmlns="http://schemas.openxmlformats.org/spreadsheetml/2006/main" count="386" uniqueCount="289">
  <si>
    <t>Test ID</t>
  </si>
  <si>
    <t>Status</t>
  </si>
  <si>
    <t>Query</t>
  </si>
  <si>
    <t>Actual Output</t>
  </si>
  <si>
    <t>Expected Output</t>
  </si>
  <si>
    <t>Faithfulness Score</t>
  </si>
  <si>
    <t>Faithfulness Reason</t>
  </si>
  <si>
    <t>Pedagogical Score</t>
  </si>
  <si>
    <t>Pedagogical Reason</t>
  </si>
  <si>
    <t>Retrieval Context</t>
  </si>
  <si>
    <t>PASSED</t>
  </si>
  <si>
    <t>Hvad giver 6 + 7?</t>
  </si>
  <si>
    <t>"Kan du huske 10'er venner? Hvis vi tager 6 og lægger 4 til, så får vi 10. Hvor mange mere skal du lægge til for at nå 7?"</t>
  </si>
  <si>
    <t>Prøv at tænke på et plus-par du kender. Hvad giver 6 + 6? 7 er én mere end 6 så hvad skal du lægge til resultatet?</t>
  </si>
  <si>
    <t>The score is 1.00 because there are no contradictions, indicating that the actual output perfectly aligns with the retrieval context. ------------------------------------------------------------  📊 METRIC: Pedagogical Quality Score: 0.90 / 1.00 Threshold: 0.7 Status: ✅ PASS  💭 Judge's Reasoning: The response effectively uses guiding questions by prompting the student to think about 10'er venner and how to reach the target number. It references an appropriate teaching strategy and uses simple language suitable for 7-9 year olds, making it accessible and engaging. ------------------------------------------------------------</t>
  </si>
  <si>
    <t>The response effectively uses guiding questions by prompting the student to think about 10'er venner and how to reach the target number. It references an appropriate teaching strategy and uses simple language suitable for 7-9 year olds, making it accessible and engaging. ------------------------------------------------------------</t>
  </si>
  <si>
    <t>På samme måde kan eleverne med 10’er vennerne løse de regnestykker, som er næsten det 
samme: “Jeg ved ikke, hvad 7+2 er, men når7+3 bliver 10, så må 7+2 være én mindre, altså 9. 
10’er vennerne kan o...</t>
  </si>
  <si>
    <t>Jeg kan ikke huske 7 + 8.</t>
  </si>
  <si>
    <t>"Kan du huske 10'er venner? Hvis du tager 7 og lægger 3 til, får du 10. Hvor mange mere skal du lægge til for at nå 8?"</t>
  </si>
  <si>
    <t>Det er et svært stykke. Men ved du hvad det dobbelte af 7 er? Så mangler du bare at lægge én til resultatet.</t>
  </si>
  <si>
    <t>The score is 0.50 because the actual output incorrectly states that 7 plus 3 equals 10, which is not supported by the retrieval context. ------------------------------------------------------------  📊 METRIC: Pedagogical Quality Score: 0.90 / 1.00 Threshold: 0.7 Status: ✅ PASS  💭 Judge's Reasoning: The response effectively uses guiding questions by prompting the student to think about 10'er venner and how to reach the number 8. It references an appropriate teaching strategy by mentioning 10'er venner, which is relevant for the target age group. The language is simple and accessible, making it suitable for 7-9 year olds. ------------------------------------------------------------</t>
  </si>
  <si>
    <t>The response effectively uses guiding questions by prompting the student to think about 10'er venner and how to reach the number 8. It references an appropriate teaching strategy by mentioning 10'er venner, which is relevant for the target age group. The language is simple and accessible, making it suitable for 7-9 year olds. ------------------------------------------------------------</t>
  </si>
  <si>
    <t>mangler jeg at tælle de sidste enere. 77, 78, 79, 80, 81, 82, 83, 84” . Hun flytter en centicube ad 
gangen. 
Opdelingsmetoder (eksempel 46 + 38) 
Albert bygger tallene med centicubes. Han samler de 4...</t>
  </si>
  <si>
    <t>Hvad giver 6 + 5?</t>
  </si>
  <si>
    <t>"Kan du huske 10'er venner? Hvis vi tager 5 og deler det op i 5 og 0, så kan vi sige, at 6 + 4 = 10. Hvad bliver så 6 + 5?"</t>
  </si>
  <si>
    <t>Hvis du flytter 1 fra 6-tallet over til 5-tallet hvilket plus-par får du så? (5+5 eller 6+6?)</t>
  </si>
  <si>
    <t>The score is 0.50 because the actual output incorrectly suggests that the division of 5 into 5 and 0 is relevant to concluding that 6 + 4 = 10, despite the fact that the correctness of 6 + 4 = 10 is independent of how 5 is divided. ------------------------------------------------------------  📊 METRIC: Pedagogical Quality Score: 0.90 / 1.00 Threshold: 0.7 Status: ✅ PASS  💭 Judge's Reasoning: The response effectively uses guiding questions by prompting the student to recall the concept of '10'er venner' and encourages them to think critically about the addition problem. It references an appropriate teaching strategy by mentioning '10'er venner,' which is suitable for the target age group. The language is simple and accessible, avoiding complex terminology, making it appropriate for 7-9 year olds. ------------------------------------------------------------</t>
  </si>
  <si>
    <t>The response effectively uses guiding questions by prompting the student to recall the concept of '10'er venner' and encourages them to think critically about the addition problem. It references an appropriate teaching strategy by mentioning '10'er venner,' which is suitable for the target age group. The language is simple and accessible, avoiding complex terminology, making it appropriate for 7-9 year olds. ------------------------------------------------------------</t>
  </si>
  <si>
    <t>FAILED</t>
  </si>
  <si>
    <t>Hvad er 8 plus 5?</t>
  </si>
  <si>
    <t>"Kan du huske 10'er venner? Hvis vi tager 5 og deler det op i 2 og 3, kan vi lægge 2 til 8 for at få 10. Hvad bliver så resten?"</t>
  </si>
  <si>
    <t>Vi kan bruge 'fyld op'-strategien. Hvad er 8s tier-ven? Hvor meget skal du 'stjæle' fra 5 for at få 10?</t>
  </si>
  <si>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student to recall the concept of '10'er venner' and encourages them to think through the problem. It references an appropriate teaching strategy by mentioning '10'er venner', which is relevant for the target age group. The language is simple and accessible, suitable for 7-9 year olds, avoiding overly complex terminology. ------------------------------------------------------------</t>
  </si>
  <si>
    <t>The response effectively uses guiding questions by prompting the student to recall the concept of '10'er venner' and encourages them to think through the problem. It references an appropriate teaching strategy by mentioning '10'er venner', which is relevant for the target age group. The language is simple and accessible, suitable for 7-9 year olds, avoiding overly complex terminology. ------------------------------------------------------------</t>
  </si>
  <si>
    <t>Hvad er 9 plus 6?</t>
  </si>
  <si>
    <t>"Kan du huske 10'er venner? Hvis vi tager 9 og lægger 1 til, får vi 10. Hvor mange mere skal du lægge til for at få 6?"</t>
  </si>
  <si>
    <t>9 mangler kun 1 for at blive 10. Prøv at tage 1 fra 6eren så du får 10 + resten.</t>
  </si>
  <si>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student to recall the '10'er venner' strategy and encouraging them to think about the addition needed to reach 6. It references an appropriate teaching strategy, which is beneficial for the target age group. However, the language could be slightly simplified to ensure it is fully accessible to 7-9 year olds, as the phrase 'hvor mange mere' might be a bit complex for some students. ------------------------------------------------------------</t>
  </si>
  <si>
    <t>The response effectively uses guiding questions by prompting the student to recall the '10'er venner' strategy and encouraging them to think about the addition needed to reach 6. It references an appropriate teaching strategy, which is beneficial for the target age group. However, the language could be slightly simplified to ensure it is fully accessible to 7-9 year olds, as the phrase 'hvor mange mere' might be a bit complex for some students. ------------------------------------------------------------</t>
  </si>
  <si>
    <t>Hvad er 15 minus 5?</t>
  </si>
  <si>
    <t>"Kan du tænke på 10'er venner? Hvis du har 15 og tager 5 væk, kan du først tage 5 fra 10. Hvad bliver der så tilbage?"</t>
  </si>
  <si>
    <t>Tænk på hvordan tallet 15 er bygget. Det er en 10er og en 5er. Hvis du fjerner 5eren hvad er der tilbage?</t>
  </si>
  <si>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student to think about '10'er venner' and guiding them through the subtraction process. It encourages critical thinking rather than providing a direct answer. However, it could improve by explicitly referencing a specific teaching strategy like 'tier-venner' to enhance alignment with the evaluation steps. The language is simple and appropriate for the target age group, avoiding complex terminology. ------------------------------------------------------------</t>
  </si>
  <si>
    <t>The response effectively uses guiding questions by prompting the student to think about '10'er venner' and guiding them through the subtraction process. It encourages critical thinking rather than providing a direct answer. However, it could improve by explicitly referencing a specific teaching strategy like 'tier-venner' to enhance alignment with the evaluation steps. The language is simple and appropriate for the target age group, avoiding complex terminology. ------------------------------------------------------------</t>
  </si>
  <si>
    <t>Hvordan regner jeg 12 minus 9?</t>
  </si>
  <si>
    <t>"Kan du tænke på 10'er venner? Hvis du har 12 og tager 2 fra, hvad får du så? Og hvis du tager 9 fra, hvor mange flere skal du tage fra 10 for at nå 9?"</t>
  </si>
  <si>
    <t>9 er meget tæt på 10. Prøv først at trække 10 fra (så har du 2) og læg så 1 til igen fordi du trak for meget fra.</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</si>
  <si>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prompting them to think critically about the concept of 10'er venner. It encourages problem-solving by asking about subtraction in a relatable context. However, while the language is generally simple, the phrasing could be slightly more straightforward for 7-9 year olds, which prevents a perfect score. ------------------------------------------------------------</t>
  </si>
  <si>
    <t>The response effectively uses guiding questions to engage the learner, prompting them to think critically about the concept of 10'er venner. It encourages problem-solving by asking about subtraction in a relatable context. However, while the language is generally simple, the phrasing could be slightly more straightforward for 7-9 year olds, which prevents a perfect score. ------------------------------------------------------------</t>
  </si>
  <si>
    <t>Hvad er 14 minus 7?</t>
  </si>
  <si>
    <t>"Kan du tænke på 7 som en 10'er ven til 3? Hvis 14 er 10 plus 4, hvad får du så, hvis du trækker 7 fra 14?"</t>
  </si>
  <si>
    <t>Prøv at tænke på plus-par. Du ved at 7 + 7 er 14. Så hvad er 14 - 7?</t>
  </si>
  <si>
    <t>The score is 0.67 because the actual output incorrectly states that 14 is not equal to 10 plus 4, despite 10 plus 4 being the correct calculation for 14, indicating a misunderstanding of basic arithmetic. ------------------------------------------------------------  📊 METRIC: Pedagogical Quality Score: 0.80 / 1.00 Threshold: 0.7 Status: ✅ PASS  💭 Judge's Reasoning: The response effectively uses guiding questions to lead the learner towards the answer rather than providing it directly, which aligns well with the first evaluation step. It also references the '10'er ven' strategy, which is appropriate for the age group. The language is simple and accessible for 7-9 year olds, avoiding complex terminology, though it could be slightly more straightforward in phrasing to enhance clarity. ------------------------------------------------------------</t>
  </si>
  <si>
    <t>The response effectively uses guiding questions to lead the learner towards the answer rather than providing it directly, which aligns well with the first evaluation step. It also references the '10'er ven' strategy, which is appropriate for the age group. The language is simple and accessible for 7-9 year olds, avoiding complex terminology, though it could be slightly more straightforward in phrasing to enhance clarity. ------------------------------------------------------------</t>
  </si>
  <si>
    <t>Hvad er 3 gange 2?</t>
  </si>
  <si>
    <t>"Kan du huske dobbelt-op? Hvis 2 + 2 = 4, hvad får du så, hvis du lægger 2 til det igen?"</t>
  </si>
  <si>
    <t>Tænk på det som gentagen addition. Hvad er 2 + 2 + 2?</t>
  </si>
  <si>
    <t>The score is 1.00 because there are no contradictions, indicating that the actual output aligns perfectly with the retrieval context. ------------------------------------------------------------  📊 METRIC: Pedagogical Quality Score: 1.00 / 1.00 Threshold: 0.7 Status: ✅ PASS  💭 Judge's Reasoning: The response effectively uses guiding questions by prompting the student to recall the 'dobbelt-op' strategy and apply it to a simple addition problem. The language is appropriate for the target age group, using familiar terms and concepts that 7-9 year olds would encounter in school. ------------------------------------------------------------</t>
  </si>
  <si>
    <t>The response effectively uses guiding questions by prompting the student to recall the 'dobbelt-op' strategy and apply it to a simple addition problem. The language is appropriate for the target age group, using familiar terms and concepts that 7-9 year olds would encounter in school. ------------------------------------------------------------</t>
  </si>
  <si>
    <t>Hvad er 2 gange 5?</t>
  </si>
  <si>
    <t>"Hvordan kan vi bruge dobbelt-op her? Hvis 2 gange 5 er det samme som 2 plus 2 plus 2 plus 2 plus 2, hvor mange 2'ere har vi så i alt?"</t>
  </si>
  <si>
    <t>Tænk på det som det dobbelte af 5.</t>
  </si>
  <si>
    <t>The score is 0.00 because the actual output incorrectly represents the multiplication operation, stating that 2 plus 2 plus 2 plus 2 plus 2 equals 10, which contradicts the accurate mathematical representation. ------------------------------------------------------------  📊 METRIC: Pedagogical Quality Score: 0.80 / 1.00 Threshold: 0.7 Status: ✅ PASS  💭 Judge's Reasoning: The response effectively uses a guiding question by asking how to apply the 'dobbelt-op' strategy, which encourages critical thinking. It references an appropriate teaching strategy relevant to the context. The language is simple and suitable for 7-9 year olds, avoiding complex terminology, making it accessible for the target age group. ------------------------------------------------------------</t>
  </si>
  <si>
    <t>The response effectively uses a guiding question by asking how to apply the 'dobbelt-op' strategy, which encourages critical thinking. It references an appropriate teaching strategy relevant to the context. The language is simple and suitable for 7-9 year olds, avoiding complex terminology, making it accessible for the target age group. ------------------------------------------------------------</t>
  </si>
  <si>
    <t>Hvad er 10 gange 2?</t>
  </si>
  <si>
    <t>"Hvordan kan vi tænke på 10 gange 2? Hvis vi ved, at 10 er det samme som 1 tiere, så kan vi sige, at 2 tiere giver os 20. Kan du tælle op til 20 ved at lægge 10 til sig selv?"</t>
  </si>
  <si>
    <t>Det er to tiere. Hvad giver 10 + 10?</t>
  </si>
  <si>
    <t>The score is 0.67 because the actual output incorrectly equates 10 with 1 tiere, while the retrieval context clarifies that 10 represents a group of 10 enere, indicating a misunderstanding of numerical representation. ------------------------------------------------------------  📊 METRIC: Pedagogical Quality Score: 0.80 / 1.00 Threshold: 0.7 Status: ✅ PASS  💭 Judge's Reasoning: The response effectively uses guiding questions, prompting the learner to think about the relationship between 10 and 2 without providing a direct answer. It also employs simple language suitable for 7-9 year olds, avoiding complex terminology. However, it does not explicitly reference a specific teaching strategy like '10'er venner' or 'tier-venner', which could enhance the educational approach. ------------------------------------------------------------</t>
  </si>
  <si>
    <t>The response effectively uses guiding questions, prompting the learner to think about the relationship between 10 and 2 without providing a direct answer. It also employs simple language suitable for 7-9 year olds, avoiding complex terminology. However, it does not explicitly reference a specific teaching strategy like '10'er venner' or 'tier-venner', which could enhance the educational approach. ------------------------------------------------------------</t>
  </si>
  <si>
    <t>Hvad er det halve af 10?</t>
  </si>
  <si>
    <t>"Hvordan kan vi finde det halve af 10? Tænk på, at hvis vi deler 10 op i to lige store dele, hvor mange vil der så være i hver del? Kan du tælle op til 10 og dele det i to?"</t>
  </si>
  <si>
    <t>At finde det halve er det samme som at dele med 2. Hvad er 5 + 5?</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</si>
  <si>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encourage critical thinking, asking the student to consider how to divide 10 into two equal parts. It avoids complex terminology, using simple language suitable for 7-9 year olds. However, it does not reference a specific teaching strategy, which slightly lowers the score. ------------------------------------------------------------</t>
  </si>
  <si>
    <t>The response effectively uses guiding questions to encourage critical thinking, asking the student to consider how to divide 10 into two equal parts. It avoids complex terminology, using simple language suitable for 7-9 year olds. However, it does not reference a specific teaching strategy, which slightly lowers the score. ------------------------------------------------------------</t>
  </si>
  <si>
    <t>Hvad er det halve af 8?</t>
  </si>
  <si>
    <t>"Hvordan kan vi finde det halve af 8? Tænk på, at hvis vi deler 8 op i to lige store grupper, hvor mange vil der så være i hver gruppe? Kan du tælle, hvor mange der er i én gruppe?"</t>
  </si>
  <si>
    <t>Tænk på et plus-par der giver 8. Hvilket tal skal du plusse med sig selv for at få 8?</t>
  </si>
  <si>
    <t>The score is 1.00 because there are no contradictions, indicating that the actual output aligns perfectly with the retrieval context. ------------------------------------------------------------  📊 METRIC: Pedagogical Quality Score: 1.00 / 1.00 Threshold: 0.7 Status: ✅ PASS  💭 Judge's Reasoning: The response effectively uses guiding questions to lead the student to the answer rather than providing it directly, which aligns well with the first evaluation step. It encourages critical thinking by asking the student to consider dividing 8 into two equal groups. Additionally, the language used is simple and appropriate for 7-9 year olds, avoiding complex terminology, which meets the third evaluation step. There is no specific teaching strategy mentioned, but the approach is consistent with effective teaching practices for this age group. ------------------------------------------------------------</t>
  </si>
  <si>
    <t>The response effectively uses guiding questions to lead the student to the answer rather than providing it directly, which aligns well with the first evaluation step. It encourages critical thinking by asking the student to consider dividing 8 into two equal groups. Additionally, the language used is simple and appropriate for 7-9 year olds, avoiding complex terminology, which meets the third evaluation step. There is no specific teaching strategy mentioned, but the approach is consistent with effective teaching practices for this age group. ------------------------------------------------------------</t>
  </si>
  <si>
    <t>Hvad er 6 delt med 2?</t>
  </si>
  <si>
    <t>"Hvordan kan vi tænke på 6 delt med 2? Kan du finde ud af, hvor mange grupper af 2 der er i 6? Prøv at tælle, hvor mange 2'ere du kan lave!"</t>
  </si>
  <si>
    <t>Det er det samme som at spørge: Hvad er det halve af 6? Eller: Hvad skal jeg gange med 2 for at få 6?</t>
  </si>
  <si>
    <t>The score is 0.67 because the actual output incorrectly states that 6 divided by 2 equals 6, while the retrieval context correctly states it equals 3. ------------------------------------------------------------  📊 METRIC: Pedagogical Quality Score: 1.00 / 1.00 Threshold: 0.7 Status: ✅ PASS  💭 Judge's Reasoning: The response effectively uses guiding questions to encourage critical thinking, asking the student to find groups of 2 in 6. It employs a teaching strategy that aligns with engaging students in problem-solving. Additionally, the language is simple and appropriate for 7-9 year olds, avoiding complex terminology. ------------------------------------------------------------</t>
  </si>
  <si>
    <t>The response effectively uses guiding questions to encourage critical thinking, asking the student to find groups of 2 in 6. It employs a teaching strategy that aligns with engaging students in problem-solving. Additionally, the language is simple and appropriate for 7-9 year olds, avoiding complex terminology. ------------------------------------------------------------</t>
  </si>
  <si>
    <t>Hvad er 46 + 38?</t>
  </si>
  <si>
    <t>"Lad os bruge opdelingsmetoden! Tænk på 46 som 40 + 6 og 38 som 30 + 8. Hvad får du, hvis du lægger 40 og 30 sammen først?"</t>
  </si>
  <si>
    <t>Prøv at dele det op. Hvad får du hvis du kun plusser tierne (40 + 30) først? Så kan vi tage enerne bagefter.</t>
  </si>
  <si>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student to think about the addition of 40 and 30 first, which encourages engagement. It references a teaching strategy (opdelingsmetoden) that is appropriate for the age group. The language is simple and accessible for 7-9 year olds, avoiding complex terminology. ------------------------------------------------------------</t>
  </si>
  <si>
    <t>The response effectively uses guiding questions by prompting the student to think about the addition of 40 and 30 first, which encourages engagement. It references a teaching strategy (opdelingsmetoden) that is appropriate for the age group. The language is simple and accessible for 7-9 year olds, avoiding complex terminology. ------------------------------------------------------------</t>
  </si>
  <si>
    <t>Ved et regnestykke som 27+25 tænker eleven måske på, at 25+25=50, så må 27+25 være to 
mere, altså 52. Ved regnestykket 48+26 kan eleven flytte to fra 26 over til 48, så bliver det i 
stedet 50+24, og...</t>
  </si>
  <si>
    <t>Hvad er 20 minus 5?</t>
  </si>
  <si>
    <t>"Kan du tænke på 20 som 10 + 10? Hvis du tager 5 fra 10, hvad får du så? Og hvad med de 10 mere?"</t>
  </si>
  <si>
    <t>Tænk på dine 10er venner. Hvis du tager 5 fra den ene 10er hvad er der så tilbage sammen med den anden 10er?</t>
  </si>
  <si>
    <t>The score is 0.50 because the actual output makes an unsupported claim that '20 can be thought of as 10 + 10', which is not mentioned in the retrieval context. ------------------------------------------------------------  📊 METRIC: Pedagogical Quality Score: 0.80 / 1.00 Threshold: 0.7 Status: ✅ PASS  💭 Judge's Reasoning: The response effectively uses guiding questions to encourage critical thinking, such as asking the student to consider 20 as 10 + 10 and to think about subtracting 5 from 10. However, it does not explicitly reference a specific teaching strategy like '10'er venner' or 'tier-venner', which would strengthen the alignment with the evaluation steps. The language is simple and appropriate for the target age group, making it accessible for 7-9 year olds. ------------------------------------------------------------</t>
  </si>
  <si>
    <t>The response effectively uses guiding questions to encourage critical thinking, such as asking the student to consider 20 as 10 + 10 and to think about subtracting 5 from 10. However, it does not explicitly reference a specific teaching strategy like '10'er venner' or 'tier-venner', which would strengthen the alignment with the evaluation steps. The language is simple and appropriate for the target age group, making it accessible for 7-9 year olds. ------------------------------------------------------------</t>
  </si>
  <si>
    <t>Hvordan plusser jeg store tal?</t>
  </si>
  <si>
    <t>"Når vi plusser store tal, kan vi bruge 10'er venner! For eksempel, hvis du har 46 og 38, kan du først lægge tiere sammen. Hvor mange tiere har du i 46 og 38? Og hvad med enerne? Kan du finde ud af, hvordan du kan samle dem?"</t>
  </si>
  <si>
    <t>Du kan bygge tallene med tier-stænger i hovedet. Saml alle tierne i én bunke og enerne i en anden.</t>
  </si>
  <si>
    <t>The score is 1.00 because there are no contradictions, indicating that the actual output perfectly aligns with the retrieval context. ------------------------------------------------------------  📊 METRIC: Pedagogical Quality Score: 0.90 / 1.00 Threshold: 0.7 Status: ✅ PASS  💭 Judge's Reasoning: The response effectively uses guiding questions to engage the learner, asking them to identify the tens and units in the numbers provided. It references the teaching strategy of '10'er venner' appropriately, which is relevant for the age group. The language is simple and accessible, avoiding complex terminology, making it suitable for 7-9 year olds. ------------------------------------------------------------</t>
  </si>
  <si>
    <t>The response effectively uses guiding questions to engage the learner, asking them to identify the tens and units in the numbers provided. It references the teaching strategy of '10'er venner' appropriately, which is relevant for the age group. The language is simple and accessible, avoiding complex terminology, making it suitable for 7-9 year olds. ------------------------------------------------------------</t>
  </si>
  <si>
    <t>Hvad betyder 5 i 53?</t>
  </si>
  <si>
    <t>"Kan du huske, at vi taler om tiere og enere? Tallet 5 i 53 betyder, at der er 5 tiere. Hvad tror du, det vil sige, hvis vi tæller tiere?"</t>
  </si>
  <si>
    <t>Tænk på titalssystemet. Står 5-tallet på ener-pladsen eller tier-pladsen?</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</si>
  <si>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student, asking them to recall previous discussions about tens and ones. It also references a relevant teaching strategy by focusing on the concept of tens, which is appropriate for the target age group. The language is simple and accessible, avoiding complex terminology, making it suitable for 7-9 year olds. ------------------------------------------------------------</t>
  </si>
  <si>
    <t>The response effectively uses guiding questions to engage the student, asking them to recall previous discussions about tens and ones. It also references a relevant teaching strategy by focusing on the concept of tens, which is appropriate for the target age group. The language is simple and accessible, avoiding complex terminology, making it suitable for 7-9 year olds. ------------------------------------------------------------</t>
  </si>
  <si>
    <t>Hvad er 10 + 2?</t>
  </si>
  <si>
    <t>"Hvordan kan vi bruge 10'er venner her? Hvis 10 + 0 = 10, hvad sker der så, hvis vi lægger 2 til?"</t>
  </si>
  <si>
    <t>Tænk på hvordan vi siger tallet: 'Tolv'. Det består netop af en tier og to enere.</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</si>
  <si>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asking how to apply the 10'er venner strategy. It encourages critical thinking by prompting the student to consider what happens when adding 2 to 10, which aligns well with the evaluation steps. However, it could be improved by explicitly referencing a teaching strategy or providing a clearer context for the question to enhance understanding for the target age group. ------------------------------------------------------------</t>
  </si>
  <si>
    <t>The response effectively uses guiding questions to engage the learner, asking how to apply the 10'er venner strategy. It encourages critical thinking by prompting the student to consider what happens when adding 2 to 10, which aligns well with the evaluation steps. However, it could be improved by explicitly referencing a teaching strategy or providing a clearer context for the question to enhance understanding for the target age group. ------------------------------------------------------------</t>
  </si>
  <si>
    <t>Hvad skal jeg bruge en tallinje til?</t>
  </si>
  <si>
    <t>"En tallinje hjælper os med at se, hvordan tal hænger sammen. Kan du finde ud af, hvordan vi kan bruge den til at tælle eller finde ud af, hvor mange der er mellem to tal?"</t>
  </si>
  <si>
    <t>Du kan bruge den til at hoppe fremad (plus) eller baglæns (minus). Hvilket tal vil du starte på?</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</si>
  <si>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asking them to explore how a number line can be used for counting and finding the difference between two numbers. However, it lacks a specific teaching strategy reference, which would enhance its educational value. The language is simple and appropriate for the target age group, making it accessible for 7-9 year olds. ------------------------------------------------------------</t>
  </si>
  <si>
    <t>The response effectively uses guiding questions to engage the learner, asking them to explore how a number line can be used for counting and finding the difference between two numbers. However, it lacks a specific teaching strategy reference, which would enhance its educational value. The language is simple and appropriate for the target age group, making it accessible for 7-9 year olds. ------------------------------------------------------------</t>
  </si>
  <si>
    <t>som arealenhed. 
Til refleksion: Overvej, hvor de fire forskellige måder at bruge tal på kan komme i spil i en 1. 
klasses hverdagsliv. 
Talforståelse og tællestrategier 
I praksis har eleverne brug...</t>
  </si>
  <si>
    <t>Hvordan regner jeg 15–6?</t>
  </si>
  <si>
    <t>"Kan du tænke på 15 som 10 og 5? Hvis du tager 6 fra 5, kan du ikke, men hvad med at tage 6 fra 10 først? Hvad får du så?"</t>
  </si>
  <si>
    <t>Prøv først at fjerne de 5 så du lander på 10. Hvor mange mangler du så at fjerne fra 6-tallet?</t>
  </si>
  <si>
    <t>The score is 0.67 because the actual output incorrectly suggests that taking 6 from 5 is possible, while the retrieval context clearly states that 5 is less than 6, making such an operation impossible. ------------------------------------------------------------  📊 METRIC: Pedagogical Quality Score: 0.80 / 1.00 Threshold: 0.7 Status: ✅ PASS  💭 Judge's Reasoning: The response effectively uses guiding questions to encourage critical thinking, such as asking the student to consider 15 as 10 and 5. It also prompts the student to think about subtraction in a step-by-step manner. However, it could improve by explicitly referencing a specific teaching strategy like 'tier-venner' to enhance its educational approach. The language is simple and appropriate for the target age group, avoiding complex terminology. ------------------------------------------------------------</t>
  </si>
  <si>
    <t>The response effectively uses guiding questions to encourage critical thinking, such as asking the student to consider 15 as 10 and 5. It also prompts the student to think about subtraction in a step-by-step manner. However, it could improve by explicitly referencing a specific teaching strategy like 'tier-venner' to enhance its educational approach. The language is simple and appropriate for the target age group, avoiding complex terminology. ------------------------------------------------------------</t>
  </si>
  <si>
    <t>Er det forkert at tælle sig frem?</t>
  </si>
  <si>
    <t>Det er ikke forkert at tælle sig frem, men det er godt at lære andre måder at regne på også! Kan du tænke på en måde, hvor du kan finde svaret hurtigere uden at tælle hver gang?</t>
  </si>
  <si>
    <t>Nej slet ikke. Det er en sikker måde. Men hvis du bliver træt af at tælle kan vi øve nogle smartere måder?</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</si>
  <si>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encourage the learner to think critically about alternative methods for finding answers, aligning well with the first evaluation step. It also promotes a teaching strategy by suggesting the exploration of different calculation methods, which is relevant for the age group. The language is simple and appropriate for 7-9 year olds, avoiding complex terminology, which meets the third evaluation step. However, it could have explicitly referenced a specific teaching strategy to strengthen the alignment further. ------------------------------------------------------------</t>
  </si>
  <si>
    <t>The response effectively uses guiding questions to encourage the learner to think critically about alternative methods for finding answers, aligning well with the first evaluation step. It also promotes a teaching strategy by suggesting the exploration of different calculation methods, which is relevant for the age group. The language is simple and appropriate for 7-9 year olds, avoiding complex terminology, which meets the third evaluation step. However, it could have explicitly referenced a specific teaching strategy to strengthen the alignment further. ------------------------------------------------------------</t>
  </si>
  <si>
    <t>Selvom det er helt naturligt, at eleverne tæller meget i de første skoleår, så er det vigtigt, at de 
oplever en fleksibel tilgang til regning og 
allerede på de yngste klassetrin får mulighed for, at...</t>
  </si>
  <si>
    <t>Hvorfor hedder det tre-hundrede?</t>
  </si>
  <si>
    <t>"Det hedder tre-hundrede, fordi tallet 300 består af 3 hundreder. Kan du tælle, hvor mange hundreder der er i 400? Hvad med 200?"</t>
  </si>
  <si>
    <t>Fordi der er 3 af de store plader med 100 på. Prøv at sige det langsomt: 3 ... hundrede.</t>
  </si>
  <si>
    <t>The score is 0.67 because while the actual output correctly states that there are 4 hundreds in 400, it fails to align with the structure of the decimal system, which organizes numbers into units, tens, and hundreds. ------------------------------------------------------------  📊 METRIC: Pedagogical Quality Score: 0.80 / 1.00 Threshold: 0.7 Status: ✅ PASS  💭 Judge's Reasoning: The response effectively uses guiding questions by prompting the learner to count hundreds in different numbers, which encourages engagement and critical thinking. It also employs simple language suitable for 7-9 year olds, avoiding complex terminology. However, it does not reference a specific teaching strategy like '10'er venner' or 'tier-venner', which could enhance the educational approach. ------------------------------------------------------------</t>
  </si>
  <si>
    <t>The response effectively uses guiding questions by prompting the learner to count hundreds in different numbers, which encourages engagement and critical thinking. It also employs simple language suitable for 7-9 year olds, avoiding complex terminology. However, it does not reference a specific teaching strategy like '10'er venner' or 'tier-venner', which could enhance the educational approach. ------------------------------------------------------------</t>
  </si>
  <si>
    <t>metoder til beregninger. Titalssystemets grundlæggende ide er at gruppere enere i grupper af 
10, tiere af grupper af 100 osv. Tallene angives ved at skrive hvor mange af hver typegruppe, 
det indehol...</t>
  </si>
  <si>
    <t>Hvad giver 48 + 26?</t>
  </si>
  <si>
    <t>"Lad os tænke på 10'er venner! Hvis vi tager 2 fra 26, så får vi 24, og nu har vi 48 + 2 = 50. Hvor meget er 50 + 24?"</t>
  </si>
  <si>
    <t>Prøv at flytte 2 fra 26 over til 48. Hvad bliver 48 så til? Og hvad er der tilbage af 26?</t>
  </si>
  <si>
    <t>The score is 0.33 because the actual output incorrectly states that taking 2 from 26 results in 24, which contradicts the context, and it also miscalculates 48 + 2 as 50 instead of the correct sum of 74 from 48 + 26. ------------------------------------------------------------  📊 METRIC: Pedagogical Quality Score: 0.80 / 1.00 Threshold: 0.7 Status: ✅ PASS  💭 Judge's Reasoning: The response effectively uses a guiding question by prompting the learner to think about '10'er venner' and engages them in a problem-solving process. It references an appropriate teaching strategy, which is beneficial for the target age group. However, the language could be simplified slightly to ensure it is fully accessible to 7-9 year olds, as some phrases may still be a bit complex for that age range. ------------------------------------------------------------</t>
  </si>
  <si>
    <t>The response effectively uses a guiding question by prompting the learner to think about '10'er venner' and engages them in a problem-solving process. It references an appropriate teaching strategy, which is beneficial for the target age group. However, the language could be simplified slightly to ensure it is fully accessible to 7-9 year olds, as some phrases may still be a bit complex for that age range. ------------------------------------------------------------</t>
  </si>
  <si>
    <t>Hvad er forskellen på 7 og 10?</t>
  </si>
  <si>
    <t>"Hvordan kan vi finde ud af, hvor mange der er fra 7 til 10? Kan du tælle op fra 7? Hvad får du, når du tæller 8, 9 og så 10?"</t>
  </si>
  <si>
    <t>Hvor mange skridt skal du gå fra 7 for at ramme 10? Det antal skridt er forskellen.</t>
  </si>
  <si>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the child to think critically about counting from 7 to 10, which aligns well with the first evaluation step. However, it lacks a specific teaching strategy reference, such as 'tier-venner' or '10'er venner', which would enhance its educational value. The language is simple and appropriate for the target age group, making it accessible for 7-9 year olds. ------------------------------------------------------------</t>
  </si>
  <si>
    <t>The response effectively uses guiding questions to encourage the child to think critically about counting from 7 to 10, which aligns well with the first evaluation step. However, it lacks a specific teaching strategy reference, such as 'tier-venner' or '10'er venner', which would enhance its educational value. The language is simple and appropriate for the target age group, making it accessible for 7-9 year olds. ------------------------------------------------------------</t>
  </si>
  <si>
    <t>Hvad er 4 gange 3?</t>
  </si>
  <si>
    <t>"Kan du huske dobbelt-op? Hvis 4 gange 2 er 8, hvad tror du så 4 gange 3 er? Prøv at tælle 4 op tre gange!"</t>
  </si>
  <si>
    <t>Forestil dig 4 bunker med 3 i hver. Kan du tælle 3-tabellen? 3-6-9-12.</t>
  </si>
  <si>
    <t>The score is 1.00 because there are no contradictions, indicating that the actual output aligns perfectly with the retrieval context. ------------------------------------------------------------  📊 METRIC: Pedagogical Quality Score: 1.00 / 1.00 Threshold: 0.7 Status: ✅ PASS  💭 Judge's Reasoning: The response effectively uses guiding questions by prompting the student to think about the relationship between multiplication facts, specifically referencing 'dobbelt-op' as a teaching strategy. The language is simple and appropriate for 7-9 year olds, avoiding complex terminology while encouraging engagement through counting. ------------------------------------------------------------</t>
  </si>
  <si>
    <t>The response effectively uses guiding questions by prompting the student to think about the relationship between multiplication facts, specifically referencing 'dobbelt-op' as a teaching strategy. The language is simple and appropriate for 7-9 year olds, avoiding complex terminology while encouraging engagement through counting. ------------------------------------------------------------</t>
  </si>
  <si>
    <t>Kan du 5-tabellen?</t>
  </si>
  <si>
    <t>"Vi kan bruge dobbelt-op til at hjælpe os! Hvis du ved, hvad 5 + 5 er, kan du så finde ud af, hvad 5 + 10 er? Hvad med at tælle op fra 5?"</t>
  </si>
  <si>
    <t>Prøv at tælle med: 5 - 10 - 15 - 20... Hvor langt kan du komme?</t>
  </si>
  <si>
    <t>The score is 1.00 because there are no contradictions, indicating that the actual output aligns perfectly with the retrieval context. ------------------------------------------------------------  📊 METRIC: Pedagogical Quality Score: 0.90 / 1.00 Threshold: 0.7 Status: ✅ PASS  💭 Judge's Reasoning: The response effectively uses guiding questions to encourage problem-solving rather than providing direct answers, which aligns well with the evaluation steps. It references the teaching strategy 'dobbelt-op' appropriately, which is relevant for the age group. Additionally, the language is simple and accessible for 7-9 year olds, avoiding complex terminology. ------------------------------------------------------------</t>
  </si>
  <si>
    <t>The response effectively uses guiding questions to encourage problem-solving rather than providing direct answers, which aligns well with the evaluation steps. It references the teaching strategy 'dobbelt-op' appropriately, which is relevant for the age group. Additionally, the language is simple and accessible for 7-9 year olds, avoiding complex terminology. ------------------------------------------------------------</t>
  </si>
  <si>
    <t>Hvordan deler jeg 12 med 3?</t>
  </si>
  <si>
    <t>"Kan du tænke på, hvor mange gange 3 kan være i 12? Hvis du tæller 3, 6, 9, 12, hvor mange gange har du talt til 12?"</t>
  </si>
  <si>
    <t>Prøv at 'dele kort ud' til 3 personer. Én til dig én til mig... indtil de 12 er væk.</t>
  </si>
  <si>
    <t>The score is 0.50 because the actual output misinterprets the concept of counting to 12 by focusing on a sequence (3, 6, 9, 12) instead of providing a total count, leading to a lack of alignment with the retrieval context. ------------------------------------------------------------  📊 METRIC: Pedagogical Quality Score: 1.00 / 1.00 Threshold: 0.7 Status: ✅ PASS  💭 Judge's Reasoning: The response effectively uses guiding questions to lead the student towards the answer without providing it directly. It encourages counting in increments of 3, which aligns with the teaching strategy of using simple, relatable methods. The language is straightforward and appropriate for 7-9 year olds, avoiding complex terminology. ------------------------------------------------------------</t>
  </si>
  <si>
    <t>The response effectively uses guiding questions to lead the student towards the answer without providing it directly. It encourages counting in increments of 3, which aligns with the teaching strategy of using simple, relatable methods. The language is straightforward and appropriate for 7-9 year olds, avoiding complex terminology. ------------------------------------------------------------</t>
  </si>
  <si>
    <t>Jeg har 8 æbler og vi er 4 børn.</t>
  </si>
  <si>
    <t>"Hvor mange æbler kan hver af jer få, hvis I deler dem ligeligt? Kan du tælle, hvor mange æbler der er til hver, hvis I deler 8 æbler med 4 børn?"</t>
  </si>
  <si>
    <t>Hvis I skal have lige mange skal I dele dem. Prøv at give ét æble til hver indtil der ikke er flere.</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</si>
  <si>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students in problem-solving rather than providing direct answers. It encourages them to think about division in a relatable context. However, it could improve by explicitly referencing a specific teaching strategy like 'tier-venner' to enhance its educational approach. ------------------------------------------------------------</t>
  </si>
  <si>
    <t>The response effectively uses guiding questions to engage the students in problem-solving rather than providing direct answers. It encourages them to think about division in a relatable context. However, it could improve by explicitly referencing a specific teaching strategy like 'tier-venner' to enhance its educational approach. ------------------------------------------------------------</t>
  </si>
  <si>
    <t>Elevernes udvikling af talforståelse kan flettes sammen med udviklingen af 
strategier til at tælle og regne. Denne artikel giver ideer til undervisningen i 
talforståelse i indskolingen. 
Generel...</t>
  </si>
  <si>
    <t>Vi er 3 børn der skal dele 9 sodavand.</t>
  </si>
  <si>
    <t>"Hvordan kan vi dele 9 sodavand mellem 3 børn? Kan du tænke på, hvor mange sodavand hver af jer ville få, hvis I deler dem ligeligt? Hvad sker der, hvis du tæller 3 sodavand til hver?"</t>
  </si>
  <si>
    <t>Prøv at give en sodavand til hver på skift indtil der ikke er flere. Hvor mange fik I hver?</t>
  </si>
  <si>
    <t>The score is 1.00 because there are no contradictions, indicating that the actual output perfectly aligns with the retrieval context. ------------------------------------------------------------  📊 METRIC: Pedagogical Quality Score: 1.00 / 1.00 Threshold: 0.7 Status: ✅ PASS  💭 Judge's Reasoning: The response effectively uses guiding questions to encourage critical thinking about dividing 9 sodas among 3 children, aligning perfectly with the first evaluation step. It avoids complex terminology, using simple language suitable for 7-9 year olds. Additionally, it implicitly suggests a teaching strategy by prompting the child to think about equal sharing, which is appropriate for the context. ------------------------------------------------------------</t>
  </si>
  <si>
    <t>The response effectively uses guiding questions to encourage critical thinking about dividing 9 sodas among 3 children, aligning perfectly with the first evaluation step. It avoids complex terminology, using simple language suitable for 7-9 year olds. Additionally, it implicitly suggests a teaching strategy by prompting the child to think about equal sharing, which is appropriate for the context. ------------------------------------------------------------</t>
  </si>
  <si>
    <t>Hvordan lægger jeg 4 til 32?</t>
  </si>
  <si>
    <t>"Kan du tænke på 32 som 30 og 2? Hvis du lægger 4 til 2, hvad får du så? Og hvad med 30? Hvad bliver det samlede resultat?"</t>
  </si>
  <si>
    <t>Du behøver ikke starte forfra. Start ved 32 og tæl 4 videre frem. Hvad kommer efter 32?</t>
  </si>
  <si>
    <t>The score is 1.00 because there are no contradictions, indicating that the actual output aligns perfectly with the retrieval context. ------------------------------------------------------------  📊 METRIC: Pedagogical Quality Score: 1.00 / 1.00 Threshold: 0.7 Status: ✅ PASS  💭 Judge's Reasoning: The response effectively uses guiding questions to lead the student towards the answer without providing it directly. It encourages critical thinking by prompting the student to break down the number 32 into 30 and 2, and then to consider the addition of 4. The language is simple and appropriate for 7-9 year olds, avoiding complex terminology, which aligns well with the evaluation steps. ------------------------------------------------------------</t>
  </si>
  <si>
    <t>The response effectively uses guiding questions to lead the student towards the answer without providing it directly. It encourages critical thinking by prompting the student to break down the number 32 into 30 and 2, and then to consider the addition of 4. The language is simple and appropriate for 7-9 year olds, avoiding complex terminology, which aligns well with the evaluation steps. ------------------------------------------------------------</t>
  </si>
  <si>
    <t>Hvad kommer efter 29?</t>
  </si>
  <si>
    <t>"Hvad tror du, der kommer efter 29? Kan du tælle videre fra 29? Hvad får du, hvis du lægger 1 til?"</t>
  </si>
  <si>
    <t>Hvad sker der med tierne når vi har fyldt ener-rækken helt op med 9? Så skal vi op på den næste runde tier.</t>
  </si>
  <si>
    <t>The score is 1.00 because there are no contradictions, indicating that the actual output aligns perfectly with the retrieval context. ------------------------------------------------------------  📊 METRIC: Pedagogical Quality Score: 1.00 / 1.00 Threshold: 0.7 Status: ✅ PASS  💭 Judge's Reasoning: The response effectively uses guiding questions to encourage the child to think and engage with the material, such as asking what comes after 29 and prompting them to count further. It avoids complex terminology, using simple language suitable for 7-9 year olds, which aligns well with the evaluation steps. ------------------------------------------------------------</t>
  </si>
  <si>
    <t>The response effectively uses guiding questions to encourage the child to think and engage with the material, such as asking what comes after 29 and prompting them to count further. It avoids complex terminology, using simple language suitable for 7-9 year olds, which aligns well with the evaluation steps. ------------------------------------------------------------</t>
  </si>
  <si>
    <t>Hvordan tæller jeg baglæns fra 10?</t>
  </si>
  <si>
    <t>"Kan du tælle ned fra 10? Start med 10, og så tæller du én mindre hver gang. Hvad bliver det, når du tager 1 fra 10?"</t>
  </si>
  <si>
    <t>Forestil dig en raketopsendelse. Hvad siger man før man siger 'affyring'? 10 - 9...</t>
  </si>
  <si>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child to count down from 10 and encouraging them to think about the subtraction process. It avoids overly complex terminology, using simple language suitable for 7-9 year olds. However, it does not reference a specific teaching strategy like 'tier-venner' or '10'er venner', which could enhance the educational approach. ------------------------------------------------------------</t>
  </si>
  <si>
    <t>The response effectively uses guiding questions by prompting the child to count down from 10 and encouraging them to think about the subtraction process. It avoids overly complex terminology, using simple language suitable for 7-9 year olds. However, it does not reference a specific teaching strategy like 'tier-venner' or '10'er venner', which could enhance the educational approach. ------------------------------------------------------------</t>
  </si>
  <si>
    <t>Kan man måle med fødder?</t>
  </si>
  <si>
    <t>Ja, man kan måle med fødder! Tænk på, hvor mange fødder der er i en længde. Hvis du har en gummistøvle, kan du bruge den til at måle, hvor lang en ting er. Hvor mange gummistøvler tror du, der skal til for at måle et bord?</t>
  </si>
  <si>
    <t>Ja det er en 'uformel enhed'. Prøv at gå hæl-mod-tå. Hvor mange fødder lang er tæppet?</t>
  </si>
  <si>
    <t>The score is 1.00 because there are no contradictions, indicating that the actual output perfectly aligns with the retrieval context. ------------------------------------------------------------  📊 METRIC: Pedagogical Quality Score: 0.80 / 1.00 Threshold: 0.7 Status: ✅ PASS  💭 Judge's Reasoning: The response effectively uses guiding questions, encouraging the child to think about measurement in a practical way. It references a relatable object (gummistøvle) for measurement, which aligns with the teaching strategy of using familiar items. The language is simple and appropriate for the target age group, avoiding complex terminology. However, it could have explicitly mentioned a specific teaching strategy like 'tier-venner' to strengthen its educational approach. ------------------------------------------------------------</t>
  </si>
  <si>
    <t>The response effectively uses guiding questions, encouraging the child to think about measurement in a practical way. It references a relatable object (gummistøvle) for measurement, which aligns with the teaching strategy of using familiar items. The language is simple and appropriate for the target age group, avoiding complex terminology. However, it could have explicitly mentioned a specific teaching strategy like 'tier-venner' to strengthen its educational approach. ------------------------------------------------------------</t>
  </si>
  <si>
    <t>hvor de bliver bedt om at give et bestemt 
antal klodser til en klassekammerat. 
Ifølge Munn skyldes dette, at børn sjældent tæller for at bestemme en mængdes størrelse, 
men mere som en del af lege e...</t>
  </si>
  <si>
    <t>Hvad er forskellen på 12 og 8?</t>
  </si>
  <si>
    <t>"Kan du huske, hvordan vi kan finde forskellen ved at tælle? Hvis vi starter ved 8 og tæller op til 12, hvor mange tal skal vi tælle for at nå dertil?"</t>
  </si>
  <si>
    <t>Du kan tælle op fra 8 til 12. Hvor mange fingre skal du bruge? 9-10-11-12.</t>
  </si>
  <si>
    <t>The score is 0.50 because the actual output incorrectly claims that counting can be used to find differences, while the retrieval context emphasizes strategies for addition and understanding numbers, not subtraction. ------------------------------------------------------------  📊 METRIC: Pedagogical Quality Score: 0.80 / 1.00 Threshold: 0.7 Status: ✅ PASS  💭 Judge's Reasoning: The response effectively uses guiding questions to engage the learner, asking them to recall how to find the difference by counting. This aligns well with the first evaluation step. However, it does not reference a specific teaching strategy like '10'er venner' or 'tier-venner', which would have strengthened the response further. The language used is simple and appropriate for the target age group, avoiding complex terminology. ------------------------------------------------------------</t>
  </si>
  <si>
    <t>The response effectively uses guiding questions to engage the learner, asking them to recall how to find the difference by counting. This aligns well with the first evaluation step. However, it does not reference a specific teaching strategy like '10'er venner' or 'tier-venner', which would have strengthened the response further. The language used is simple and appropriate for the target age group, avoiding complex terminology. ------------------------------------------------------------</t>
  </si>
  <si>
    <t>Hvad giver 10 minus 3?</t>
  </si>
  <si>
    <t>"Hvordan kan vi bruge 10'er venner til at finde svaret? Hvis 10 minus 3 er det samme som at finde ud af, hvor mange der er tilbage, når vi tager 3 væk fra 10. Kan du tælle, hvor mange der er tilbage?"</t>
  </si>
  <si>
    <t>Tænk på tier-vennerne. Hvilket tal hører sammen med 3 for at give 10? Det er svaret.</t>
  </si>
  <si>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learner to think about the concept of 10'er venner and how it relates to subtraction. It also employs simple language suitable for 7-9 year olds, avoiding complex terminology. However, it could have explicitly referenced a specific teaching strategy more clearly to enhance alignment with the evaluation steps. ------------------------------------------------------------</t>
  </si>
  <si>
    <t>The response effectively uses guiding questions by prompting the learner to think about the concept of 10'er venner and how it relates to subtraction. It also employs simple language suitable for 7-9 year olds, avoiding complex terminology. However, it could have explicitly referenced a specific teaching strategy more clearly to enhance alignment with the evaluation steps. ------------------------------------------------------------</t>
  </si>
  <si>
    <t>Hvad betyder 'gange'?</t>
  </si>
  <si>
    <t>"Gange" betyder, at vi lægger et tal sammen flere gange. For eksempel, hvis vi siger 3 gange 4, så kan vi tænke på det som at have 4 grupper med 3 i hver. Hvor mange er der i alt? Kan du tælle dem?</t>
  </si>
  <si>
    <t>Det betyder at tage det samme tal flere gange. F.eks. 3 poser med 2 æbler i hver.</t>
  </si>
  <si>
    <t>The score is 1.00 because there are no contradictions, indicating that the actual output perfectly aligns with the retrieval context. ------------------------------------------------------------  📊 METRIC: Pedagogical Quality Score: 0.80 / 1.00 Threshold: 0.7 Status: ✅ PASS  💭 Judge's Reasoning: The response effectively uses a guiding question by asking the student to count the groups, which encourages engagement and critical thinking. It also employs simple language suitable for 7-9 year olds, avoiding complex terminology. However, it does not explicitly reference a specific teaching strategy like '10'er venner' or 'tier-venner', which would have strengthened the alignment with the evaluation steps. ------------------------------------------------------------</t>
  </si>
  <si>
    <t>The response effectively uses a guiding question by asking the student to count the groups, which encourages engagement and critical thinking. It also employs simple language suitable for 7-9 year olds, avoiding complex terminology. However, it does not explicitly reference a specific teaching strategy like '10'er venner' or 'tier-venner', which would have strengthened the alignment with the evaluation steps. ------------------------------------------------------------</t>
  </si>
  <si>
    <t>Hvad er 0 gange 5?</t>
  </si>
  <si>
    <t>"Hvad sker der, hvis du har 0 grupper af 5? Kan du tælle noget, hvis der ikke er noget at tælle? Hvad tror du, svaret bliver?"</t>
  </si>
  <si>
    <t>Hvis du har 0 poser med 5 slikpinde hvor mange slikpinde har du så i alt?</t>
  </si>
  <si>
    <t>The score is 0.50 because the actual output suggests that counting is possible even when there are 0 groups of 5, which contradicts the retrieval context's implication that nothing can be counted in that scenario. ------------------------------------------------------------  📊 METRIC: Pedagogical Quality Score: 1.00 / 1.00 Threshold: 0.7 Status: ✅ PASS  💭 Judge's Reasoning: The response effectively uses guiding questions to engage the student, prompting them to think critically about the concept of counting groups. It avoids complex terminology, using simple Danish phrases suitable for 7-9 year olds. There is no reference to specific teaching strategies, but the approach aligns well with the evaluation steps. ------------------------------------------------------------</t>
  </si>
  <si>
    <t>The response effectively uses guiding questions to engage the student, prompting them to think critically about the concept of counting groups. It avoids complex terminology, using simple Danish phrases suitable for 7-9 year olds. There is no reference to specific teaching strategies, but the approach aligns well with the evaluation steps. ------------------------------------------------------------</t>
  </si>
  <si>
    <t>Hvad er 1 gange 7?</t>
  </si>
  <si>
    <t>"Hvordan kan vi tænke på 1 gange 7? Hvis vi har 1 gruppe med 7 ting, hvor mange ting har vi så i alt? Kan du tælle dem?"</t>
  </si>
  <si>
    <t>Hvis du har 1 pose med 7 ting så har du bare de 7 ting. Én gang tallet er tallet selv.</t>
  </si>
  <si>
    <t>The score is 1.00 because there are no contradictions, indicating that the actual output aligns perfectly with the retrieval context. ------------------------------------------------------------  📊 METRIC: Pedagogical Quality Score: 0.90 / 1.00 Threshold: 0.7 Status: ✅ PASS  💭 Judge's Reasoning: The response effectively uses guiding questions to engage the learner, asking how to think about the multiplication problem and prompting them to count the items. It avoids complex terminology, using simple language suitable for 7-9 year olds. However, it does not explicitly reference a specific teaching strategy, which slightly lowers the score. ------------------------------------------------------------</t>
  </si>
  <si>
    <t>The response effectively uses guiding questions to engage the learner, asking how to think about the multiplication problem and prompting them to count the items. It avoids complex terminology, using simple language suitable for 7-9 year olds. However, it does not explicitly reference a specific teaching strategy, which slightly lowers the score. ------------------------------------------------------------</t>
  </si>
  <si>
    <t>Hvad er kvadratet på 2?</t>
  </si>
  <si>
    <t>"Hvad sker der, hvis vi tænker på 2 som 2 grupper af 2? Kan du tælle, hvor mange der er i alt, når du lægger dem sammen?"</t>
  </si>
  <si>
    <t>Det er bare et fint ord for 2 gange 2. Tænk på en firkant med 2 på hver led.</t>
  </si>
  <si>
    <t>The score is 1.00 because there are no contradictions, indicating that the actual output perfectly aligns with the retrieval context. ------------------------------------------------------------  📊 METRIC: Pedagogical Quality Score: 1.00 / 1.00 Threshold: 0.7 Status: ✅ PASS  💭 Judge's Reasoning: The response effectively uses guiding questions by prompting the student to think about the concept of grouping numbers, which aligns well with the evaluation steps. It encourages active participation without providing direct answers. Additionally, the language is simple and appropriate for 7-9 year olds, avoiding complex terminology. ------------------------------------------------------------</t>
  </si>
  <si>
    <t>The response effectively uses guiding questions by prompting the student to think about the concept of grouping numbers, which aligns well with the evaluation steps. It encourages active participation without providing direct answers. Additionally, the language is simple and appropriate for 7-9 year olds, avoiding complex terminology. ------------------------------------------------------------</t>
  </si>
  <si>
    <t>Jeg har 3 poser med 4 boller.</t>
  </si>
  <si>
    <t>"Hvor mange boller har du i alt? Kan du tælle dem én ad gangen, eller kan du bruge en strategi? Hvad hvis du tænker på 4 boller i hver pose og så ganger med 3 poser?"</t>
  </si>
  <si>
    <t>Her kan du bruge gange. Det er 3 gange 4. Prøv at lægge 4 sammen 3 gange: 4 + 4 + 4.</t>
  </si>
  <si>
    <t>The score is 1.00 because there are no contradictions, indicating that the actual output aligns perfectly with the retrieval context. ------------------------------------------------------------  📊 METRIC: Pedagogical Quality Score: 0.90 / 1.00 Threshold: 0.7 Status: ✅ PASS  💭 Judge's Reasoning: The response effectively uses guiding questions to encourage the child to think critically about counting and applying a strategy. It references a specific teaching strategy by suggesting grouping boller in bags, which aligns well with the evaluation steps. The language is simple and appropriate for the target age group, avoiding complex terminology. ------------------------------------------------------------</t>
  </si>
  <si>
    <t>The response effectively uses guiding questions to encourage the child to think critically about counting and applying a strategy. It references a specific teaching strategy by suggesting grouping boller in bags, which aligns well with the evaluation steps. The language is simple and appropriate for the target age group, avoiding complex terminology. ------------------------------------------------------------</t>
  </si>
  <si>
    <t>Hvad er 10 delt med 2?</t>
  </si>
  <si>
    <t>"Hvordan kan vi tænke på 10 som en gruppe? Hvis vi deler 10 op i 2 lige store grupper, hvor mange vil der så være i hver gruppe? Kan du tælle, hvor mange der er i hver gruppe?"</t>
  </si>
  <si>
    <t>Hvis du har 10 bolsjer og skal dele dem i 2 lige store bunker hvor mange kommer der så i hver?</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</si>
  <si>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prompting them to think about the concept of grouping 10. It avoids complex terminology, using simple language suitable for 7-9 year olds. However, it does not reference a specific teaching strategy like '10'er venner' or 'tier-venner', which would have strengthened the alignment with the evaluation steps. ------------------------------------------------------------</t>
  </si>
  <si>
    <t>The response effectively uses guiding questions to engage the learner, prompting them to think about the concept of grouping 10. It avoids complex terminology, using simple language suitable for 7-9 year olds. However, it does not reference a specific teaching strategy like '10'er venner' or 'tier-venner', which would have strengthened the alignment with the evaluation steps. ------------------------------------------------------------</t>
  </si>
  <si>
    <t>Kan man dele 5 med 2?</t>
  </si>
  <si>
    <t>"Når vi deler, skal vi tænke på, hvor mange gange 2 kan gå ind i 5. Kan du tælle, hvor mange 2'ere der er i 5? Hvad får du, hvis du deler 5 op i grupper af 2?"</t>
  </si>
  <si>
    <t>Hvis du har 5 småkager og I er 2 får I 2 hver men der er én tilbage til overs. Det kaldes en rest.</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</si>
  <si>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student in the division concept, asking them to count how many times 2 fits into 5. This aligns well with the first evaluation step. However, it does not explicitly reference a specific teaching strategy like '10'er venner' or 'tier-venner', which would have strengthened the response further. The language used is simple and appropriate for the target age group, avoiding complex terminology. ------------------------------------------------------------</t>
  </si>
  <si>
    <t>The response effectively uses guiding questions to engage the student in the division concept, asking them to count how many times 2 fits into 5. This aligns well with the first evaluation step. However, it does not explicitly reference a specific teaching strategy like '10'er venner' or 'tier-venner', which would have strengthened the response further. The language used is simple and appropriate for the target age group, avoiding complex terminology. ------------------------------------------------------------</t>
  </si>
  <si>
    <t>Hvad er 8 minus 0?</t>
  </si>
  <si>
    <t>"Hvis du har 8 og ikke tager noget væk, hvor mange har du så tilbage? Kan du tælle det?"</t>
  </si>
  <si>
    <t>Hvis du har 8 og fjerner ingenting hvor mange har du så tilbage?</t>
  </si>
  <si>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child to think about the problem rather than providing a direct answer. The question is simple and appropriate for the target age group, aligning well with the evaluation steps. However, it could have referenced a specific teaching strategy to enhance its educational value. ------------------------------------------------------------</t>
  </si>
  <si>
    <t>The response effectively uses guiding questions by prompting the child to think about the problem rather than providing a direct answer. The question is simple and appropriate for the target age group, aligning well with the evaluation steps. However, it could have referenced a specific teaching strategy to enhance its educational value. ------------------------------------------------------------</t>
  </si>
  <si>
    <t>Hvad betyder minus?</t>
  </si>
  <si>
    <t>"Minus betyder, at vi tager noget væk. Hvis du har 5 æbler og giver 2 væk, hvor mange har du så tilbage? Kan du tælle dem?"</t>
  </si>
  <si>
    <t>Det betyder at du trækker noget fra eller finder forskellen mellem to tal.</t>
  </si>
  <si>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learner to think about the subtraction problem rather than providing a direct answer. It also employs simple language suitable for 7-9 year olds, avoiding complex terminology. However, it does not reference a specific teaching strategy like '10'er venner' or 'tier-venner', which could enhance the educational approach. ------------------------------------------------------------</t>
  </si>
  <si>
    <t>The response effectively uses guiding questions by prompting the learner to think about the subtraction problem rather than providing a direct answer. It also employs simple language suitable for 7-9 year olds, avoiding complex terminology. However, it does not reference a specific teaching strategy like '10'er venner' or 'tier-venner', which could enhance the educational approach. ------------------------------------------------------------</t>
  </si>
  <si>
    <t>Hvor mange er vi hvis Søren går hjem?</t>
  </si>
  <si>
    <t>"Hvis Søren går hjem, skal vi tælle, hvor mange der er tilbage. Kan du tælle, hvor mange vi er nu, og så trække 1 fra, fordi Søren går? Hvad får du så?"</t>
  </si>
  <si>
    <t>Hvis I var fx 20 før og Søren går skal vi så lægge til eller trække fra?</t>
  </si>
  <si>
    <t>The score is 1.00 because there are no contradictions, indicating that the actual output aligns perfectly with the retrieval context. ------------------------------------------------------------  📊 METRIC: Pedagogical Quality Score: 0.90 / 1.00 Threshold: 0.7 Status: ✅ PASS  💭 Judge's Reasoning: The response effectively uses guiding questions to engage the child in the counting process, asking them to count and subtract. It avoids complex terminology, using simple language suitable for 7-9 year olds. However, it does not explicitly reference a specific teaching strategy, which slightly lowers the score. ------------------------------------------------------------</t>
  </si>
  <si>
    <t>The response effectively uses guiding questions to engage the child in the counting process, asking them to count and subtract. It avoids complex terminology, using simple language suitable for 7-9 year olds. However, it does not explicitly reference a specific teaching strategy, which slightly lowers the score. ------------------------------------------------------------</t>
  </si>
  <si>
    <t>Hvad betyder 'i alt'?</t>
  </si>
  <si>
    <t>"I alt" betyder, at vi skal finde ud af, hvor mange der er samlet. Kan du tænke på, hvordan vi kan tælle tingene sammen? Hvis du har 3 æbler og 2 pærer, hvordan kan vi finde ud af, hvor mange frugter der er 'i alt'?</t>
  </si>
  <si>
    <t>Når vi spørger om 'i alt' vil vi gerne vide hvor mange der er når vi samler alle bunkerne til én stor bunke.</t>
  </si>
  <si>
    <t>The score is 1.00 because there are no contradictions, indicating that the actual output perfectly aligns with the retrieval context. ------------------------------------------------------------  📊 METRIC: Pedagogical Quality Score: 0.90 / 1.00 Threshold: 0.7 Status: ✅ PASS  💭 Judge's Reasoning: The response effectively uses guiding questions to encourage critical thinking, asking the child how to count the fruits together. It avoids complex terminology, using simple language appropriate for 7-9 year olds. However, it does not explicitly reference a specific teaching strategy like '10'er venner' or 'tier-venner', which slightly reduces its alignment with the evaluation steps. ------------------------------------------------------------</t>
  </si>
  <si>
    <t>The response effectively uses guiding questions to encourage critical thinking, asking the child how to count the fruits together. It avoids complex terminology, using simple language appropriate for 7-9 year olds. However, it does not explicitly reference a specific teaching strategy like '10'er venner' or 'tier-venner', which slightly reduces its alignment with the evaluation steps. ------------------------------------------------------------</t>
  </si>
  <si>
    <t>Hvad er forskellen på 10 kr. og 10 børn?</t>
  </si>
  <si>
    <t>"Godt spørgsmål! Tænk på 10 kr. som penge, der kan bruges til at købe noget. Men 10 børn er en gruppe af mennesker. Hvordan ville du beskrive, hvad du kan gøre med pengene i forhold til, hvad du kan gøre med børnene?"</t>
  </si>
  <si>
    <t>Tallet er det samme men det ene fortæller om en værdi (penge) og det andet er et antal (kardinaltal).</t>
  </si>
  <si>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critical thinking rather than providing direct answers, which aligns well with the evaluation steps. It prompts the child to consider the difference between money and a group of children. However, it lacks a specific teaching strategy reference, which would have strengthened the response further. The language is simple and appropriate for the target age group, avoiding complex terminology. ------------------------------------------------------------</t>
  </si>
  <si>
    <t>The response effectively uses guiding questions to encourage critical thinking rather than providing direct answers, which aligns well with the evaluation steps. It prompts the child to consider the difference between money and a group of children. However, it lacks a specific teaching strategy reference, which would have strengthened the response further. The language is simple and appropriate for the target age group, avoiding complex terminology. ------------------------------------------------------------</t>
  </si>
  <si>
    <t>Hvad er størst: 1 m eller 1 cm?</t>
  </si>
  <si>
    <t>"Hvis vi tænker på, hvor mange centimeter der er i en meter, kan du huske, at der er 100 centimeter i 1 meter? Så hvad tror du, er størst: 1 meter eller 1 centimeter?"</t>
  </si>
  <si>
    <t>Tænk på linealen. En centimeter er lillebitte. En meter er meget længere. Hvilken enhed er størst?</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</si>
  <si>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student, prompting them to think about the relationship between meters and centimeters. It avoids overly complex terminology, using simple language appropriate for 7-9 year olds. However, it does not explicitly reference a specific teaching strategy, which slightly lowers the score. ------------------------------------------------------------</t>
  </si>
  <si>
    <t>The response effectively uses guiding questions to engage the student, prompting them to think about the relationship between meters and centimeters. It avoids overly complex terminology, using simple language appropriate for 7-9 year olds. However, it does not explicitly reference a specific teaching strategy, which slightly lowers the score. ------------------------------------------------------------</t>
  </si>
  <si>
    <t>Hvad skal jeg bruge matematik til?</t>
  </si>
  <si>
    <t>"Matematik hjælper os med at forstå verden omkring os! Vi bruger tal til at tælle ting, som hvor mange venner vi har, eller hvor lang tid vi skal lege. Kan du tænke på et eksempel fra din hverdag, hvor du bruger tal?"</t>
  </si>
  <si>
    <t>Vi bruger tal til at se hvem der er højest til at købe ind og til at finde ud af hvem der vinder i spil.</t>
  </si>
  <si>
    <t>The score is 0.75 because the actual output incorrectly implies that numbers are used to count time, while the retrieval context emphasizes their use in various other contexts without mentioning time. ------------------------------------------------------------  📊 METRIC: Pedagogical Quality Score: 0.80 / 1.00 Threshold: 0.7 Status: ✅ PASS  💭 Judge's Reasoning: The response effectively uses a guiding question by asking the child to think of a personal example, which encourages engagement. It also employs simple language suitable for 7-9 year olds, avoiding complex terminology. However, it does not reference a specific teaching strategy, which slightly lowers the score. ------------------------------------------------------------</t>
  </si>
  <si>
    <t>The response effectively uses a guiding question by asking the child to think of a personal example, which encourages engagement. It also employs simple language suitable for 7-9 year olds, avoiding complex terminology. However, it does not reference a specific teaching strategy, which slightly lowers the score. ------------------------------------------------------------</t>
  </si>
  <si>
    <t>regnestykket. 
I læseplanen for matematik står der: ”Det er centralt, at læreren udfordrer og støtter de 
enkelte elever på en måde, så eleverne udvikler deres 
regnestrategier på baggrund af deres ta...</t>
  </si>
  <si>
    <t>Fleksible Tænkestrategier (1-24)</t>
  </si>
  <si>
    <t>Tællestrategier (25-35)</t>
  </si>
  <si>
    <t>Viden og Anvendelse (36-50)</t>
  </si>
  <si>
    <t>Total (1-50)</t>
  </si>
  <si>
    <t>Total Average score</t>
  </si>
  <si>
    <t>Faith</t>
  </si>
  <si>
    <t>Ped</t>
  </si>
  <si>
    <t>Random numbers sim</t>
  </si>
  <si>
    <t>Manual</t>
  </si>
  <si>
    <t>Auto</t>
  </si>
  <si>
    <t>Faith AVG (Cat 1)</t>
  </si>
  <si>
    <t>Ped AVG (Cat 1)</t>
  </si>
  <si>
    <t>Faith (Cat 2)</t>
  </si>
  <si>
    <t>Ped (Cat 2)</t>
  </si>
  <si>
    <t>Faith (Cat 3)</t>
  </si>
  <si>
    <t>Ped (Cat 3)</t>
  </si>
  <si>
    <t>Faith (Total)</t>
  </si>
  <si>
    <t>Ped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</si>
</sst>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Manula</a:t>
            </a:r>
            <a:r>
              <a:rPr lang="en-US" baseline="0"/>
              <a:t> Versus Auto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K"/>
        </a:p>
      </c:txPr>
    </c:title>
    <c:autoTitleDeleted val="0"/>
    <c:plotArea>
      <c:layout/>
      <c:barChart>
        <c:barDir val="bar"/>
        <c:grouping val="clustered"/>
        <c:varyColors val="0"/>
        <c:ser>
          <c:idx val="0"/>
          <c:order val="0"/>
          <c:tx>
            <c:strRef>
              <c:f>Sheet2!$A$37</c:f>
              <c:strCache>
                <c:ptCount val="1"/>
                <c:pt idx="0">
                  <c:v>Auto</c:v>
                </c:pt>
              </c:strCache>
            </c:strRef>
          </c:tx>
          <c:spPr>
            <a:solidFill>
              <a:schemeClr val="accent1"/>
            </a:solidFill>
            <a:ln>
              <a:noFill/>
            </a:ln>
            <a:effectLst/>
          </c:spPr>
          <c:invertIfNegative val="0"/>
          <c:cat>
            <c:strRef>
              <c:f>Sheet2!$B$36:$I$36</c:f>
              <c:strCache>
                <c:ptCount val="8"/>
                <c:pt idx="0">
                  <c:v>Faith AVG (Cat 1)</c:v>
                </c:pt>
                <c:pt idx="1">
                  <c:v>Ped AVG (Cat 1)</c:v>
                </c:pt>
                <c:pt idx="2">
                  <c:v>Faith (Cat 2)</c:v>
                </c:pt>
                <c:pt idx="3">
                  <c:v>Ped (Cat 2)</c:v>
                </c:pt>
                <c:pt idx="4">
                  <c:v>Faith (Cat 3)</c:v>
                </c:pt>
                <c:pt idx="5">
                  <c:v>Ped (Cat 3)</c:v>
                </c:pt>
                <c:pt idx="6">
                  <c:v>Faith (Total)</c:v>
                </c:pt>
                <c:pt idx="7">
                  <c:v>Ped (Total)</c:v>
                </c:pt>
              </c:strCache>
            </c:strRef>
          </c:cat>
          <c:val>
            <c:numRef>
              <c:f>Sheet2!$B$37:$I$37</c:f>
              <c:numCache>
                <c:formatCode>General</c:formatCode>
                <c:ptCount val="8"/>
                <c:pt idx="0">
                  <c:v>0.81956521739130439</c:v>
                </c:pt>
                <c:pt idx="1">
                  <c:v>0.84347826086956545</c:v>
                </c:pt>
                <c:pt idx="2">
                  <c:v>0.90909090909090906</c:v>
                </c:pt>
                <c:pt idx="3">
                  <c:v>0.90000000000000024</c:v>
                </c:pt>
                <c:pt idx="4">
                  <c:v>0.95</c:v>
                </c:pt>
                <c:pt idx="5">
                  <c:v>0.8533333333333335</c:v>
                </c:pt>
                <c:pt idx="6">
                  <c:v>0.86860000000000004</c:v>
                </c:pt>
                <c:pt idx="7">
                  <c:v>0.85799999999999965</c:v>
                </c:pt>
              </c:numCache>
            </c:numRef>
          </c:val>
          <c:extLst>
            <c:ext xmlns:c16="http://schemas.microsoft.com/office/drawing/2014/chart" uri="{C3380CC4-5D6E-409C-BE32-E72D297353CC}">
              <c16:uniqueId val="{00000000-6BAB-4A9C-A6A5-DC7DE9D3C64D}"/>
            </c:ext>
          </c:extLst>
        </c:ser>
        <c:ser>
          <c:idx val="1"/>
          <c:order val="1"/>
          <c:tx>
            <c:strRef>
              <c:f>Sheet2!$A$38</c:f>
              <c:strCache>
                <c:ptCount val="1"/>
                <c:pt idx="0">
                  <c:v>Manual</c:v>
                </c:pt>
              </c:strCache>
            </c:strRef>
          </c:tx>
          <c:spPr>
            <a:solidFill>
              <a:schemeClr val="accent2"/>
            </a:solidFill>
            <a:ln>
              <a:noFill/>
            </a:ln>
            <a:effectLst/>
          </c:spPr>
          <c:invertIfNegative val="0"/>
          <c:cat>
            <c:strRef>
              <c:f>Sheet2!$B$36:$I$36</c:f>
              <c:strCache>
                <c:ptCount val="8"/>
                <c:pt idx="0">
                  <c:v>Faith AVG (Cat 1)</c:v>
                </c:pt>
                <c:pt idx="1">
                  <c:v>Ped AVG (Cat 1)</c:v>
                </c:pt>
                <c:pt idx="2">
                  <c:v>Faith (Cat 2)</c:v>
                </c:pt>
                <c:pt idx="3">
                  <c:v>Ped (Cat 2)</c:v>
                </c:pt>
                <c:pt idx="4">
                  <c:v>Faith (Cat 3)</c:v>
                </c:pt>
                <c:pt idx="5">
                  <c:v>Ped (Cat 3)</c:v>
                </c:pt>
                <c:pt idx="6">
                  <c:v>Faith (Total)</c:v>
                </c:pt>
                <c:pt idx="7">
                  <c:v>Ped (Total)</c:v>
                </c:pt>
              </c:strCache>
            </c:strRef>
          </c:cat>
          <c:val>
            <c:numRef>
              <c:f>Sheet2!$B$38:$I$38</c:f>
              <c:numCache>
                <c:formatCode>General</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6BAB-4A9C-A6A5-DC7DE9D3C64D}"/>
            </c:ext>
          </c:extLst>
        </c:ser>
        <c:dLbls>
          <c:showLegendKey val="0"/>
          <c:showVal val="0"/>
          <c:showCatName val="0"/>
          <c:showSerName val="0"/>
          <c:showPercent val="0"/>
          <c:showBubbleSize val="0"/>
        </c:dLbls>
        <c:gapWidth val="182"/>
        <c:axId val="650328415"/>
        <c:axId val="650331295"/>
      </c:barChart>
      <c:catAx>
        <c:axId val="650328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650331295"/>
        <c:crosses val="autoZero"/>
        <c:auto val="1"/>
        <c:lblAlgn val="ctr"/>
        <c:lblOffset val="100"/>
        <c:noMultiLvlLbl val="0"/>
      </c:catAx>
      <c:valAx>
        <c:axId val="650331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650328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376237</xdr:colOff>
      <xdr:row>40</xdr:row>
      <xdr:rowOff>80962</xdr:rowOff>
    </xdr:from>
    <xdr:to>
      <xdr:col>6</xdr:col>
      <xdr:colOff>1604962</xdr:colOff>
      <xdr:row>54</xdr:row>
      <xdr:rowOff>157162</xdr:rowOff>
    </xdr:to>
    <xdr:graphicFrame macro="">
      <xdr:nvGraphicFramePr>
        <xdr:cNvPr id="4" name="Chart 3">
          <a:extLst>
            <a:ext uri="{FF2B5EF4-FFF2-40B4-BE49-F238E27FC236}">
              <a16:creationId xmlns:a16="http://schemas.microsoft.com/office/drawing/2014/main" id="{B70579B6-98EE-0CD7-84D0-8E0008D35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opLeftCell="A16" workbookViewId="0">
      <selection activeCell="H2" sqref="H2:H5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v>1</v>
      </c>
      <c r="B2" t="s">
        <v>10</v>
      </c>
      <c r="C2" t="s">
        <v>11</v>
      </c>
      <c r="D2" t="s">
        <v>12</v>
      </c>
      <c r="E2" t="s">
        <v>13</v>
      </c>
      <c r="F2">
        <v>1</v>
      </c>
      <c r="G2" t="s">
        <v>14</v>
      </c>
      <c r="H2">
        <v>0.9</v>
      </c>
      <c r="I2" t="s">
        <v>15</v>
      </c>
      <c r="J2" t="s">
        <v>16</v>
      </c>
    </row>
    <row r="3" spans="1:10" x14ac:dyDescent="0.25">
      <c r="A3">
        <v>2</v>
      </c>
      <c r="B3" t="s">
        <v>10</v>
      </c>
      <c r="C3" t="s">
        <v>17</v>
      </c>
      <c r="D3" t="s">
        <v>18</v>
      </c>
      <c r="E3" t="s">
        <v>19</v>
      </c>
      <c r="F3">
        <v>0.5</v>
      </c>
      <c r="G3" t="s">
        <v>20</v>
      </c>
      <c r="H3">
        <v>0.9</v>
      </c>
      <c r="I3" t="s">
        <v>21</v>
      </c>
      <c r="J3" t="s">
        <v>22</v>
      </c>
    </row>
    <row r="4" spans="1:10" x14ac:dyDescent="0.25">
      <c r="A4">
        <v>3</v>
      </c>
      <c r="B4" t="s">
        <v>10</v>
      </c>
      <c r="C4" t="s">
        <v>23</v>
      </c>
      <c r="D4" t="s">
        <v>24</v>
      </c>
      <c r="E4" t="s">
        <v>25</v>
      </c>
      <c r="F4">
        <v>0.5</v>
      </c>
      <c r="G4" t="s">
        <v>26</v>
      </c>
      <c r="H4">
        <v>0.9</v>
      </c>
      <c r="I4" t="s">
        <v>27</v>
      </c>
      <c r="J4" t="s">
        <v>16</v>
      </c>
    </row>
    <row r="5" spans="1:10" x14ac:dyDescent="0.25">
      <c r="A5">
        <v>4</v>
      </c>
      <c r="B5" t="s">
        <v>28</v>
      </c>
      <c r="C5" t="s">
        <v>29</v>
      </c>
      <c r="D5" t="s">
        <v>30</v>
      </c>
      <c r="E5" t="s">
        <v>31</v>
      </c>
      <c r="F5">
        <v>1</v>
      </c>
      <c r="G5" t="s">
        <v>32</v>
      </c>
      <c r="H5">
        <v>0.8</v>
      </c>
      <c r="I5" t="s">
        <v>33</v>
      </c>
      <c r="J5" t="s">
        <v>16</v>
      </c>
    </row>
    <row r="6" spans="1:10" x14ac:dyDescent="0.25">
      <c r="A6">
        <v>5</v>
      </c>
      <c r="B6" t="s">
        <v>10</v>
      </c>
      <c r="C6" t="s">
        <v>34</v>
      </c>
      <c r="D6" t="s">
        <v>35</v>
      </c>
      <c r="E6" t="s">
        <v>36</v>
      </c>
      <c r="F6">
        <v>1</v>
      </c>
      <c r="G6" t="s">
        <v>37</v>
      </c>
      <c r="H6">
        <v>0.8</v>
      </c>
      <c r="I6" t="s">
        <v>38</v>
      </c>
      <c r="J6" t="s">
        <v>16</v>
      </c>
    </row>
    <row r="7" spans="1:10" x14ac:dyDescent="0.25">
      <c r="A7">
        <v>6</v>
      </c>
      <c r="B7" t="s">
        <v>10</v>
      </c>
      <c r="C7" t="s">
        <v>39</v>
      </c>
      <c r="D7" t="s">
        <v>40</v>
      </c>
      <c r="E7" t="s">
        <v>41</v>
      </c>
      <c r="F7">
        <v>1</v>
      </c>
      <c r="G7" t="s">
        <v>42</v>
      </c>
      <c r="H7">
        <v>0.8</v>
      </c>
      <c r="I7" t="s">
        <v>43</v>
      </c>
      <c r="J7" t="s">
        <v>16</v>
      </c>
    </row>
    <row r="8" spans="1:10" x14ac:dyDescent="0.25">
      <c r="A8">
        <v>7</v>
      </c>
      <c r="B8" t="s">
        <v>10</v>
      </c>
      <c r="C8" t="s">
        <v>44</v>
      </c>
      <c r="D8" t="s">
        <v>45</v>
      </c>
      <c r="E8" t="s">
        <v>46</v>
      </c>
      <c r="F8">
        <v>1</v>
      </c>
      <c r="G8" t="s">
        <v>47</v>
      </c>
      <c r="H8">
        <v>0.8</v>
      </c>
      <c r="I8" t="s">
        <v>48</v>
      </c>
      <c r="J8" t="s">
        <v>16</v>
      </c>
    </row>
    <row r="9" spans="1:10" x14ac:dyDescent="0.25">
      <c r="A9">
        <v>8</v>
      </c>
      <c r="B9" t="s">
        <v>10</v>
      </c>
      <c r="C9" t="s">
        <v>49</v>
      </c>
      <c r="D9" t="s">
        <v>50</v>
      </c>
      <c r="E9" t="s">
        <v>51</v>
      </c>
      <c r="F9">
        <v>0.67</v>
      </c>
      <c r="G9" t="s">
        <v>52</v>
      </c>
      <c r="H9">
        <v>0.8</v>
      </c>
      <c r="I9" t="s">
        <v>53</v>
      </c>
      <c r="J9" t="s">
        <v>16</v>
      </c>
    </row>
    <row r="10" spans="1:10" x14ac:dyDescent="0.25">
      <c r="A10">
        <v>9</v>
      </c>
      <c r="B10" t="s">
        <v>10</v>
      </c>
      <c r="C10" t="s">
        <v>54</v>
      </c>
      <c r="D10" t="s">
        <v>55</v>
      </c>
      <c r="E10" t="s">
        <v>56</v>
      </c>
      <c r="F10">
        <v>1</v>
      </c>
      <c r="G10" t="s">
        <v>57</v>
      </c>
      <c r="H10">
        <v>1</v>
      </c>
      <c r="I10" t="s">
        <v>58</v>
      </c>
      <c r="J10" t="s">
        <v>22</v>
      </c>
    </row>
    <row r="11" spans="1:10" x14ac:dyDescent="0.25">
      <c r="A11">
        <v>10</v>
      </c>
      <c r="B11" t="s">
        <v>28</v>
      </c>
      <c r="C11" t="s">
        <v>59</v>
      </c>
      <c r="D11" t="s">
        <v>60</v>
      </c>
      <c r="E11" t="s">
        <v>61</v>
      </c>
      <c r="F11">
        <v>0</v>
      </c>
      <c r="G11" t="s">
        <v>62</v>
      </c>
      <c r="H11">
        <v>0.8</v>
      </c>
      <c r="I11" t="s">
        <v>63</v>
      </c>
      <c r="J11" t="s">
        <v>22</v>
      </c>
    </row>
    <row r="12" spans="1:10" x14ac:dyDescent="0.25">
      <c r="A12">
        <v>11</v>
      </c>
      <c r="B12" t="s">
        <v>10</v>
      </c>
      <c r="C12" t="s">
        <v>64</v>
      </c>
      <c r="D12" t="s">
        <v>65</v>
      </c>
      <c r="E12" t="s">
        <v>66</v>
      </c>
      <c r="F12">
        <v>0.67</v>
      </c>
      <c r="G12" t="s">
        <v>67</v>
      </c>
      <c r="H12">
        <v>0.8</v>
      </c>
      <c r="I12" t="s">
        <v>68</v>
      </c>
      <c r="J12" t="s">
        <v>16</v>
      </c>
    </row>
    <row r="13" spans="1:10" x14ac:dyDescent="0.25">
      <c r="A13">
        <v>12</v>
      </c>
      <c r="B13" t="s">
        <v>10</v>
      </c>
      <c r="C13" t="s">
        <v>69</v>
      </c>
      <c r="D13" t="s">
        <v>70</v>
      </c>
      <c r="E13" t="s">
        <v>71</v>
      </c>
      <c r="F13">
        <v>1</v>
      </c>
      <c r="G13" t="s">
        <v>72</v>
      </c>
      <c r="H13">
        <v>0.8</v>
      </c>
      <c r="I13" t="s">
        <v>73</v>
      </c>
      <c r="J13" t="s">
        <v>16</v>
      </c>
    </row>
    <row r="14" spans="1:10" x14ac:dyDescent="0.25">
      <c r="A14">
        <v>13</v>
      </c>
      <c r="B14" t="s">
        <v>10</v>
      </c>
      <c r="C14" t="s">
        <v>74</v>
      </c>
      <c r="D14" t="s">
        <v>75</v>
      </c>
      <c r="E14" t="s">
        <v>76</v>
      </c>
      <c r="F14">
        <v>1</v>
      </c>
      <c r="G14" t="s">
        <v>77</v>
      </c>
      <c r="H14">
        <v>1</v>
      </c>
      <c r="I14" t="s">
        <v>78</v>
      </c>
      <c r="J14" t="s">
        <v>22</v>
      </c>
    </row>
    <row r="15" spans="1:10" x14ac:dyDescent="0.25">
      <c r="A15">
        <v>14</v>
      </c>
      <c r="B15" t="s">
        <v>10</v>
      </c>
      <c r="C15" t="s">
        <v>79</v>
      </c>
      <c r="D15" t="s">
        <v>80</v>
      </c>
      <c r="E15" t="s">
        <v>81</v>
      </c>
      <c r="F15">
        <v>0.67</v>
      </c>
      <c r="G15" t="s">
        <v>82</v>
      </c>
      <c r="H15">
        <v>1</v>
      </c>
      <c r="I15" t="s">
        <v>83</v>
      </c>
      <c r="J15" t="s">
        <v>22</v>
      </c>
    </row>
    <row r="16" spans="1:10" x14ac:dyDescent="0.25">
      <c r="A16">
        <v>15</v>
      </c>
      <c r="B16" t="s">
        <v>10</v>
      </c>
      <c r="C16" t="s">
        <v>84</v>
      </c>
      <c r="D16" t="s">
        <v>85</v>
      </c>
      <c r="E16" t="s">
        <v>86</v>
      </c>
      <c r="F16">
        <v>1</v>
      </c>
      <c r="G16" t="s">
        <v>87</v>
      </c>
      <c r="H16">
        <v>0.8</v>
      </c>
      <c r="I16" t="s">
        <v>88</v>
      </c>
      <c r="J16" t="s">
        <v>89</v>
      </c>
    </row>
    <row r="17" spans="1:10" x14ac:dyDescent="0.25">
      <c r="A17">
        <v>16</v>
      </c>
      <c r="B17" t="s">
        <v>10</v>
      </c>
      <c r="C17" t="s">
        <v>90</v>
      </c>
      <c r="D17" t="s">
        <v>91</v>
      </c>
      <c r="E17" t="s">
        <v>92</v>
      </c>
      <c r="F17">
        <v>0.5</v>
      </c>
      <c r="G17" t="s">
        <v>93</v>
      </c>
      <c r="H17">
        <v>0.8</v>
      </c>
      <c r="I17" t="s">
        <v>94</v>
      </c>
      <c r="J17" t="s">
        <v>89</v>
      </c>
    </row>
    <row r="18" spans="1:10" x14ac:dyDescent="0.25">
      <c r="A18">
        <v>17</v>
      </c>
      <c r="B18" t="s">
        <v>10</v>
      </c>
      <c r="C18" t="s">
        <v>95</v>
      </c>
      <c r="D18" t="s">
        <v>96</v>
      </c>
      <c r="E18" t="s">
        <v>97</v>
      </c>
      <c r="F18">
        <v>1</v>
      </c>
      <c r="G18" t="s">
        <v>98</v>
      </c>
      <c r="H18">
        <v>0.9</v>
      </c>
      <c r="I18" t="s">
        <v>99</v>
      </c>
      <c r="J18" t="s">
        <v>22</v>
      </c>
    </row>
    <row r="19" spans="1:10" x14ac:dyDescent="0.25">
      <c r="A19">
        <v>18</v>
      </c>
      <c r="B19" t="s">
        <v>10</v>
      </c>
      <c r="C19" t="s">
        <v>100</v>
      </c>
      <c r="D19" t="s">
        <v>101</v>
      </c>
      <c r="E19" t="s">
        <v>102</v>
      </c>
      <c r="F19">
        <v>1</v>
      </c>
      <c r="G19" t="s">
        <v>103</v>
      </c>
      <c r="H19">
        <v>0.8</v>
      </c>
      <c r="I19" t="s">
        <v>104</v>
      </c>
      <c r="J19" t="s">
        <v>89</v>
      </c>
    </row>
    <row r="20" spans="1:10" x14ac:dyDescent="0.25">
      <c r="A20">
        <v>19</v>
      </c>
      <c r="B20" t="s">
        <v>10</v>
      </c>
      <c r="C20" t="s">
        <v>105</v>
      </c>
      <c r="D20" t="s">
        <v>106</v>
      </c>
      <c r="E20" t="s">
        <v>107</v>
      </c>
      <c r="F20">
        <v>1</v>
      </c>
      <c r="G20" t="s">
        <v>108</v>
      </c>
      <c r="H20">
        <v>0.8</v>
      </c>
      <c r="I20" t="s">
        <v>109</v>
      </c>
      <c r="J20" t="s">
        <v>16</v>
      </c>
    </row>
    <row r="21" spans="1:10" x14ac:dyDescent="0.25">
      <c r="A21">
        <v>20</v>
      </c>
      <c r="B21" t="s">
        <v>10</v>
      </c>
      <c r="C21" t="s">
        <v>110</v>
      </c>
      <c r="D21" t="s">
        <v>111</v>
      </c>
      <c r="E21" t="s">
        <v>112</v>
      </c>
      <c r="F21">
        <v>1</v>
      </c>
      <c r="G21" t="s">
        <v>113</v>
      </c>
      <c r="H21">
        <v>0.8</v>
      </c>
      <c r="I21" t="s">
        <v>114</v>
      </c>
      <c r="J21" t="s">
        <v>115</v>
      </c>
    </row>
    <row r="22" spans="1:10" x14ac:dyDescent="0.25">
      <c r="A22">
        <v>21</v>
      </c>
      <c r="B22" t="s">
        <v>10</v>
      </c>
      <c r="C22" t="s">
        <v>116</v>
      </c>
      <c r="D22" t="s">
        <v>117</v>
      </c>
      <c r="E22" t="s">
        <v>118</v>
      </c>
      <c r="F22">
        <v>0.67</v>
      </c>
      <c r="G22" t="s">
        <v>119</v>
      </c>
      <c r="H22">
        <v>0.8</v>
      </c>
      <c r="I22" t="s">
        <v>120</v>
      </c>
      <c r="J22" t="s">
        <v>16</v>
      </c>
    </row>
    <row r="23" spans="1:10" x14ac:dyDescent="0.25">
      <c r="A23">
        <v>22</v>
      </c>
      <c r="B23" t="s">
        <v>10</v>
      </c>
      <c r="C23" t="s">
        <v>121</v>
      </c>
      <c r="D23" t="s">
        <v>122</v>
      </c>
      <c r="E23" t="s">
        <v>123</v>
      </c>
      <c r="F23">
        <v>1</v>
      </c>
      <c r="G23" t="s">
        <v>124</v>
      </c>
      <c r="H23">
        <v>0.8</v>
      </c>
      <c r="I23" t="s">
        <v>125</v>
      </c>
      <c r="J23" t="s">
        <v>126</v>
      </c>
    </row>
    <row r="24" spans="1:10" x14ac:dyDescent="0.25">
      <c r="A24">
        <v>23</v>
      </c>
      <c r="B24" t="s">
        <v>10</v>
      </c>
      <c r="C24" t="s">
        <v>127</v>
      </c>
      <c r="D24" t="s">
        <v>128</v>
      </c>
      <c r="E24" t="s">
        <v>129</v>
      </c>
      <c r="F24">
        <v>0.67</v>
      </c>
      <c r="G24" t="s">
        <v>130</v>
      </c>
      <c r="H24">
        <v>0.8</v>
      </c>
      <c r="I24" t="s">
        <v>131</v>
      </c>
      <c r="J24" t="s">
        <v>132</v>
      </c>
    </row>
    <row r="25" spans="1:10" x14ac:dyDescent="0.25">
      <c r="A25">
        <v>24</v>
      </c>
      <c r="B25" t="s">
        <v>10</v>
      </c>
      <c r="C25" t="s">
        <v>133</v>
      </c>
      <c r="D25" t="s">
        <v>134</v>
      </c>
      <c r="E25" t="s">
        <v>135</v>
      </c>
      <c r="F25">
        <v>0.33</v>
      </c>
      <c r="G25" t="s">
        <v>136</v>
      </c>
      <c r="H25">
        <v>0.8</v>
      </c>
      <c r="I25" t="s">
        <v>137</v>
      </c>
      <c r="J25" t="s">
        <v>89</v>
      </c>
    </row>
    <row r="26" spans="1:10" x14ac:dyDescent="0.25">
      <c r="A26">
        <v>25</v>
      </c>
      <c r="B26" t="s">
        <v>10</v>
      </c>
      <c r="C26" t="s">
        <v>138</v>
      </c>
      <c r="D26" t="s">
        <v>139</v>
      </c>
      <c r="E26" t="s">
        <v>140</v>
      </c>
      <c r="F26">
        <v>1</v>
      </c>
      <c r="G26" t="s">
        <v>141</v>
      </c>
      <c r="H26">
        <v>0.8</v>
      </c>
      <c r="I26" t="s">
        <v>142</v>
      </c>
      <c r="J26" t="s">
        <v>16</v>
      </c>
    </row>
    <row r="27" spans="1:10" x14ac:dyDescent="0.25">
      <c r="A27">
        <v>26</v>
      </c>
      <c r="B27" t="s">
        <v>10</v>
      </c>
      <c r="C27" t="s">
        <v>143</v>
      </c>
      <c r="D27" t="s">
        <v>144</v>
      </c>
      <c r="E27" t="s">
        <v>145</v>
      </c>
      <c r="F27">
        <v>1</v>
      </c>
      <c r="G27" t="s">
        <v>146</v>
      </c>
      <c r="H27">
        <v>1</v>
      </c>
      <c r="I27" t="s">
        <v>147</v>
      </c>
      <c r="J27" t="s">
        <v>22</v>
      </c>
    </row>
    <row r="28" spans="1:10" x14ac:dyDescent="0.25">
      <c r="A28">
        <v>27</v>
      </c>
      <c r="B28" t="s">
        <v>10</v>
      </c>
      <c r="C28" t="s">
        <v>148</v>
      </c>
      <c r="D28" t="s">
        <v>149</v>
      </c>
      <c r="E28" t="s">
        <v>150</v>
      </c>
      <c r="F28">
        <v>1</v>
      </c>
      <c r="G28" t="s">
        <v>151</v>
      </c>
      <c r="H28">
        <v>0.9</v>
      </c>
      <c r="I28" t="s">
        <v>152</v>
      </c>
      <c r="J28" t="s">
        <v>16</v>
      </c>
    </row>
    <row r="29" spans="1:10" x14ac:dyDescent="0.25">
      <c r="A29">
        <v>28</v>
      </c>
      <c r="B29" t="s">
        <v>10</v>
      </c>
      <c r="C29" t="s">
        <v>153</v>
      </c>
      <c r="D29" t="s">
        <v>154</v>
      </c>
      <c r="E29" t="s">
        <v>155</v>
      </c>
      <c r="F29">
        <v>0.5</v>
      </c>
      <c r="G29" t="s">
        <v>156</v>
      </c>
      <c r="H29">
        <v>1</v>
      </c>
      <c r="I29" t="s">
        <v>157</v>
      </c>
      <c r="J29" t="s">
        <v>16</v>
      </c>
    </row>
    <row r="30" spans="1:10" x14ac:dyDescent="0.25">
      <c r="A30">
        <v>29</v>
      </c>
      <c r="B30" t="s">
        <v>10</v>
      </c>
      <c r="C30" t="s">
        <v>158</v>
      </c>
      <c r="D30" t="s">
        <v>159</v>
      </c>
      <c r="E30" t="s">
        <v>160</v>
      </c>
      <c r="F30">
        <v>1</v>
      </c>
      <c r="G30" t="s">
        <v>161</v>
      </c>
      <c r="H30">
        <v>0.8</v>
      </c>
      <c r="I30" t="s">
        <v>162</v>
      </c>
      <c r="J30" t="s">
        <v>163</v>
      </c>
    </row>
    <row r="31" spans="1:10" x14ac:dyDescent="0.25">
      <c r="A31">
        <v>30</v>
      </c>
      <c r="B31" t="s">
        <v>10</v>
      </c>
      <c r="C31" t="s">
        <v>164</v>
      </c>
      <c r="D31" t="s">
        <v>165</v>
      </c>
      <c r="E31" t="s">
        <v>166</v>
      </c>
      <c r="F31">
        <v>1</v>
      </c>
      <c r="G31" t="s">
        <v>167</v>
      </c>
      <c r="H31">
        <v>1</v>
      </c>
      <c r="I31" t="s">
        <v>168</v>
      </c>
      <c r="J31" t="s">
        <v>16</v>
      </c>
    </row>
    <row r="32" spans="1:10" x14ac:dyDescent="0.25">
      <c r="A32">
        <v>31</v>
      </c>
      <c r="B32" t="s">
        <v>10</v>
      </c>
      <c r="C32" t="s">
        <v>169</v>
      </c>
      <c r="D32" t="s">
        <v>170</v>
      </c>
      <c r="E32" t="s">
        <v>171</v>
      </c>
      <c r="F32">
        <v>1</v>
      </c>
      <c r="G32" t="s">
        <v>172</v>
      </c>
      <c r="H32">
        <v>1</v>
      </c>
      <c r="I32" t="s">
        <v>173</v>
      </c>
      <c r="J32" t="s">
        <v>89</v>
      </c>
    </row>
    <row r="33" spans="1:10" x14ac:dyDescent="0.25">
      <c r="A33">
        <v>32</v>
      </c>
      <c r="B33" t="s">
        <v>10</v>
      </c>
      <c r="C33" t="s">
        <v>174</v>
      </c>
      <c r="D33" t="s">
        <v>175</v>
      </c>
      <c r="E33" t="s">
        <v>176</v>
      </c>
      <c r="F33">
        <v>1</v>
      </c>
      <c r="G33" t="s">
        <v>177</v>
      </c>
      <c r="H33">
        <v>1</v>
      </c>
      <c r="I33" t="s">
        <v>178</v>
      </c>
      <c r="J33" t="s">
        <v>89</v>
      </c>
    </row>
    <row r="34" spans="1:10" x14ac:dyDescent="0.25">
      <c r="A34">
        <v>33</v>
      </c>
      <c r="B34" t="s">
        <v>10</v>
      </c>
      <c r="C34" t="s">
        <v>179</v>
      </c>
      <c r="D34" t="s">
        <v>180</v>
      </c>
      <c r="E34" t="s">
        <v>181</v>
      </c>
      <c r="F34">
        <v>1</v>
      </c>
      <c r="G34" t="s">
        <v>182</v>
      </c>
      <c r="H34">
        <v>0.8</v>
      </c>
      <c r="I34" t="s">
        <v>183</v>
      </c>
      <c r="J34" t="s">
        <v>16</v>
      </c>
    </row>
    <row r="35" spans="1:10" x14ac:dyDescent="0.25">
      <c r="A35">
        <v>34</v>
      </c>
      <c r="B35" t="s">
        <v>10</v>
      </c>
      <c r="C35" t="s">
        <v>184</v>
      </c>
      <c r="D35" t="s">
        <v>185</v>
      </c>
      <c r="E35" t="s">
        <v>186</v>
      </c>
      <c r="F35">
        <v>1</v>
      </c>
      <c r="G35" t="s">
        <v>187</v>
      </c>
      <c r="H35">
        <v>0.8</v>
      </c>
      <c r="I35" t="s">
        <v>188</v>
      </c>
      <c r="J35" t="s">
        <v>189</v>
      </c>
    </row>
    <row r="36" spans="1:10" x14ac:dyDescent="0.25">
      <c r="A36">
        <v>35</v>
      </c>
      <c r="B36" t="s">
        <v>10</v>
      </c>
      <c r="C36" t="s">
        <v>190</v>
      </c>
      <c r="D36" t="s">
        <v>191</v>
      </c>
      <c r="E36" t="s">
        <v>192</v>
      </c>
      <c r="F36">
        <v>0.5</v>
      </c>
      <c r="G36" t="s">
        <v>193</v>
      </c>
      <c r="H36">
        <v>0.8</v>
      </c>
      <c r="I36" t="s">
        <v>194</v>
      </c>
      <c r="J36" t="s">
        <v>16</v>
      </c>
    </row>
    <row r="37" spans="1:10" x14ac:dyDescent="0.25">
      <c r="A37">
        <v>36</v>
      </c>
      <c r="B37" t="s">
        <v>10</v>
      </c>
      <c r="C37" t="s">
        <v>195</v>
      </c>
      <c r="D37" t="s">
        <v>196</v>
      </c>
      <c r="E37" t="s">
        <v>197</v>
      </c>
      <c r="F37">
        <v>1</v>
      </c>
      <c r="G37" t="s">
        <v>198</v>
      </c>
      <c r="H37">
        <v>0.8</v>
      </c>
      <c r="I37" t="s">
        <v>199</v>
      </c>
      <c r="J37" t="s">
        <v>16</v>
      </c>
    </row>
    <row r="38" spans="1:10" x14ac:dyDescent="0.25">
      <c r="A38">
        <v>37</v>
      </c>
      <c r="B38" t="s">
        <v>10</v>
      </c>
      <c r="C38" t="s">
        <v>200</v>
      </c>
      <c r="D38" t="s">
        <v>201</v>
      </c>
      <c r="E38" t="s">
        <v>202</v>
      </c>
      <c r="F38">
        <v>1</v>
      </c>
      <c r="G38" t="s">
        <v>203</v>
      </c>
      <c r="H38">
        <v>0.8</v>
      </c>
      <c r="I38" t="s">
        <v>204</v>
      </c>
      <c r="J38" t="s">
        <v>163</v>
      </c>
    </row>
    <row r="39" spans="1:10" x14ac:dyDescent="0.25">
      <c r="A39">
        <v>38</v>
      </c>
      <c r="B39" t="s">
        <v>10</v>
      </c>
      <c r="C39" t="s">
        <v>205</v>
      </c>
      <c r="D39" t="s">
        <v>206</v>
      </c>
      <c r="E39" t="s">
        <v>207</v>
      </c>
      <c r="F39">
        <v>0.5</v>
      </c>
      <c r="G39" t="s">
        <v>208</v>
      </c>
      <c r="H39">
        <v>1</v>
      </c>
      <c r="I39" t="s">
        <v>209</v>
      </c>
      <c r="J39" t="s">
        <v>16</v>
      </c>
    </row>
    <row r="40" spans="1:10" x14ac:dyDescent="0.25">
      <c r="A40">
        <v>39</v>
      </c>
      <c r="B40" t="s">
        <v>10</v>
      </c>
      <c r="C40" t="s">
        <v>210</v>
      </c>
      <c r="D40" t="s">
        <v>211</v>
      </c>
      <c r="E40" t="s">
        <v>212</v>
      </c>
      <c r="F40">
        <v>1</v>
      </c>
      <c r="G40" t="s">
        <v>213</v>
      </c>
      <c r="H40">
        <v>0.9</v>
      </c>
      <c r="I40" t="s">
        <v>214</v>
      </c>
      <c r="J40" t="s">
        <v>22</v>
      </c>
    </row>
    <row r="41" spans="1:10" x14ac:dyDescent="0.25">
      <c r="A41">
        <v>40</v>
      </c>
      <c r="B41" t="s">
        <v>10</v>
      </c>
      <c r="C41" t="s">
        <v>215</v>
      </c>
      <c r="D41" t="s">
        <v>216</v>
      </c>
      <c r="E41" t="s">
        <v>217</v>
      </c>
      <c r="F41">
        <v>1</v>
      </c>
      <c r="G41" t="s">
        <v>218</v>
      </c>
      <c r="H41">
        <v>1</v>
      </c>
      <c r="I41" t="s">
        <v>219</v>
      </c>
      <c r="J41" t="s">
        <v>22</v>
      </c>
    </row>
    <row r="42" spans="1:10" x14ac:dyDescent="0.25">
      <c r="A42">
        <v>41</v>
      </c>
      <c r="B42" t="s">
        <v>10</v>
      </c>
      <c r="C42" t="s">
        <v>220</v>
      </c>
      <c r="D42" t="s">
        <v>221</v>
      </c>
      <c r="E42" t="s">
        <v>222</v>
      </c>
      <c r="F42">
        <v>1</v>
      </c>
      <c r="G42" t="s">
        <v>223</v>
      </c>
      <c r="H42">
        <v>0.9</v>
      </c>
      <c r="I42" t="s">
        <v>224</v>
      </c>
      <c r="J42" t="s">
        <v>22</v>
      </c>
    </row>
    <row r="43" spans="1:10" x14ac:dyDescent="0.25">
      <c r="A43">
        <v>42</v>
      </c>
      <c r="B43" t="s">
        <v>10</v>
      </c>
      <c r="C43" t="s">
        <v>225</v>
      </c>
      <c r="D43" t="s">
        <v>226</v>
      </c>
      <c r="E43" t="s">
        <v>227</v>
      </c>
      <c r="F43">
        <v>1</v>
      </c>
      <c r="G43" t="s">
        <v>228</v>
      </c>
      <c r="H43">
        <v>0.8</v>
      </c>
      <c r="I43" t="s">
        <v>229</v>
      </c>
      <c r="J43" t="s">
        <v>16</v>
      </c>
    </row>
    <row r="44" spans="1:10" x14ac:dyDescent="0.25">
      <c r="A44">
        <v>43</v>
      </c>
      <c r="B44" t="s">
        <v>10</v>
      </c>
      <c r="C44" t="s">
        <v>230</v>
      </c>
      <c r="D44" t="s">
        <v>231</v>
      </c>
      <c r="E44" t="s">
        <v>232</v>
      </c>
      <c r="F44">
        <v>1</v>
      </c>
      <c r="G44" t="s">
        <v>233</v>
      </c>
      <c r="H44">
        <v>0.8</v>
      </c>
      <c r="I44" t="s">
        <v>234</v>
      </c>
      <c r="J44" t="s">
        <v>22</v>
      </c>
    </row>
    <row r="45" spans="1:10" x14ac:dyDescent="0.25">
      <c r="A45">
        <v>44</v>
      </c>
      <c r="B45" t="s">
        <v>10</v>
      </c>
      <c r="C45" t="s">
        <v>235</v>
      </c>
      <c r="D45" t="s">
        <v>236</v>
      </c>
      <c r="E45" t="s">
        <v>237</v>
      </c>
      <c r="F45">
        <v>1</v>
      </c>
      <c r="G45" t="s">
        <v>238</v>
      </c>
      <c r="H45">
        <v>0.8</v>
      </c>
      <c r="I45" t="s">
        <v>239</v>
      </c>
      <c r="J45" t="s">
        <v>16</v>
      </c>
    </row>
    <row r="46" spans="1:10" x14ac:dyDescent="0.25">
      <c r="A46">
        <v>45</v>
      </c>
      <c r="B46" t="s">
        <v>10</v>
      </c>
      <c r="C46" t="s">
        <v>240</v>
      </c>
      <c r="D46" t="s">
        <v>241</v>
      </c>
      <c r="E46" t="s">
        <v>242</v>
      </c>
      <c r="F46">
        <v>1</v>
      </c>
      <c r="G46" t="s">
        <v>243</v>
      </c>
      <c r="H46">
        <v>0.8</v>
      </c>
      <c r="I46" t="s">
        <v>244</v>
      </c>
      <c r="J46" t="s">
        <v>16</v>
      </c>
    </row>
    <row r="47" spans="1:10" x14ac:dyDescent="0.25">
      <c r="A47">
        <v>46</v>
      </c>
      <c r="B47" t="s">
        <v>10</v>
      </c>
      <c r="C47" t="s">
        <v>245</v>
      </c>
      <c r="D47" t="s">
        <v>246</v>
      </c>
      <c r="E47" t="s">
        <v>247</v>
      </c>
      <c r="F47">
        <v>1</v>
      </c>
      <c r="G47" t="s">
        <v>248</v>
      </c>
      <c r="H47">
        <v>0.9</v>
      </c>
      <c r="I47" t="s">
        <v>249</v>
      </c>
      <c r="J47" t="s">
        <v>22</v>
      </c>
    </row>
    <row r="48" spans="1:10" x14ac:dyDescent="0.25">
      <c r="A48">
        <v>47</v>
      </c>
      <c r="B48" t="s">
        <v>10</v>
      </c>
      <c r="C48" t="s">
        <v>250</v>
      </c>
      <c r="D48" t="s">
        <v>251</v>
      </c>
      <c r="E48" t="s">
        <v>252</v>
      </c>
      <c r="F48">
        <v>1</v>
      </c>
      <c r="G48" t="s">
        <v>253</v>
      </c>
      <c r="H48">
        <v>0.9</v>
      </c>
      <c r="I48" t="s">
        <v>254</v>
      </c>
      <c r="J48" t="s">
        <v>132</v>
      </c>
    </row>
    <row r="49" spans="1:10" x14ac:dyDescent="0.25">
      <c r="A49">
        <v>48</v>
      </c>
      <c r="B49" t="s">
        <v>10</v>
      </c>
      <c r="C49" t="s">
        <v>255</v>
      </c>
      <c r="D49" t="s">
        <v>256</v>
      </c>
      <c r="E49" t="s">
        <v>257</v>
      </c>
      <c r="F49">
        <v>1</v>
      </c>
      <c r="G49" t="s">
        <v>258</v>
      </c>
      <c r="H49">
        <v>0.8</v>
      </c>
      <c r="I49" t="s">
        <v>259</v>
      </c>
      <c r="J49" t="s">
        <v>163</v>
      </c>
    </row>
    <row r="50" spans="1:10" x14ac:dyDescent="0.25">
      <c r="A50">
        <v>49</v>
      </c>
      <c r="B50" t="s">
        <v>10</v>
      </c>
      <c r="C50" t="s">
        <v>260</v>
      </c>
      <c r="D50" t="s">
        <v>261</v>
      </c>
      <c r="E50" t="s">
        <v>262</v>
      </c>
      <c r="F50">
        <v>1</v>
      </c>
      <c r="G50" t="s">
        <v>263</v>
      </c>
      <c r="H50">
        <v>0.8</v>
      </c>
      <c r="I50" t="s">
        <v>264</v>
      </c>
      <c r="J50" t="s">
        <v>22</v>
      </c>
    </row>
    <row r="51" spans="1:10" x14ac:dyDescent="0.25">
      <c r="A51">
        <v>50</v>
      </c>
      <c r="B51" t="s">
        <v>10</v>
      </c>
      <c r="C51" t="s">
        <v>265</v>
      </c>
      <c r="D51" t="s">
        <v>266</v>
      </c>
      <c r="E51" t="s">
        <v>267</v>
      </c>
      <c r="F51">
        <v>0.75</v>
      </c>
      <c r="G51" t="s">
        <v>268</v>
      </c>
      <c r="H51">
        <v>0.8</v>
      </c>
      <c r="I51" t="s">
        <v>269</v>
      </c>
      <c r="J51" t="s">
        <v>270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1377F-6163-4647-90D8-36B35B188AED}">
  <dimension ref="A1:P52"/>
  <sheetViews>
    <sheetView tabSelected="1" topLeftCell="A21" workbookViewId="0">
      <selection activeCell="I42" sqref="I42"/>
    </sheetView>
  </sheetViews>
  <sheetFormatPr defaultRowHeight="15" x14ac:dyDescent="0.25"/>
  <cols>
    <col min="1" max="1" width="30.28515625" bestFit="1" customWidth="1"/>
    <col min="2" max="2" width="17" bestFit="1" customWidth="1"/>
    <col min="4" max="4" width="21.5703125" bestFit="1" customWidth="1"/>
    <col min="5" max="5" width="17" bestFit="1" customWidth="1"/>
    <col min="6" max="6" width="11.5703125" bestFit="1" customWidth="1"/>
    <col min="7" max="7" width="27" bestFit="1" customWidth="1"/>
    <col min="8" max="8" width="17" bestFit="1" customWidth="1"/>
    <col min="10" max="10" width="17.42578125" bestFit="1" customWidth="1"/>
    <col min="11" max="11" width="17" bestFit="1" customWidth="1"/>
    <col min="12" max="12" width="17.42578125" bestFit="1" customWidth="1"/>
  </cols>
  <sheetData>
    <row r="1" spans="1:13" x14ac:dyDescent="0.25">
      <c r="A1" t="s">
        <v>271</v>
      </c>
      <c r="D1" t="s">
        <v>272</v>
      </c>
      <c r="G1" t="s">
        <v>273</v>
      </c>
      <c r="L1" t="s">
        <v>274</v>
      </c>
    </row>
    <row r="2" spans="1:13" x14ac:dyDescent="0.25">
      <c r="A2" s="1" t="s">
        <v>5</v>
      </c>
      <c r="B2" s="1" t="s">
        <v>7</v>
      </c>
      <c r="D2" s="1" t="s">
        <v>5</v>
      </c>
      <c r="E2" s="1" t="s">
        <v>7</v>
      </c>
      <c r="G2" s="1" t="s">
        <v>5</v>
      </c>
      <c r="H2" s="1" t="s">
        <v>7</v>
      </c>
      <c r="L2" s="1" t="s">
        <v>5</v>
      </c>
      <c r="M2" s="1" t="s">
        <v>7</v>
      </c>
    </row>
    <row r="3" spans="1:13" x14ac:dyDescent="0.25">
      <c r="A3">
        <v>1</v>
      </c>
      <c r="B3">
        <v>0.9</v>
      </c>
      <c r="D3">
        <v>1</v>
      </c>
      <c r="E3">
        <v>0.8</v>
      </c>
      <c r="G3">
        <v>1</v>
      </c>
      <c r="H3">
        <v>0.8</v>
      </c>
      <c r="L3">
        <v>1</v>
      </c>
      <c r="M3">
        <v>0.9</v>
      </c>
    </row>
    <row r="4" spans="1:13" x14ac:dyDescent="0.25">
      <c r="A4">
        <v>0.5</v>
      </c>
      <c r="B4">
        <v>0.9</v>
      </c>
      <c r="D4">
        <v>1</v>
      </c>
      <c r="E4">
        <v>1</v>
      </c>
      <c r="G4">
        <v>1</v>
      </c>
      <c r="H4">
        <v>0.8</v>
      </c>
      <c r="L4">
        <v>0.5</v>
      </c>
      <c r="M4">
        <v>0.9</v>
      </c>
    </row>
    <row r="5" spans="1:13" x14ac:dyDescent="0.25">
      <c r="A5">
        <v>0.5</v>
      </c>
      <c r="B5">
        <v>0.9</v>
      </c>
      <c r="D5">
        <v>1</v>
      </c>
      <c r="E5">
        <v>0.9</v>
      </c>
      <c r="G5">
        <v>0.5</v>
      </c>
      <c r="H5">
        <v>1</v>
      </c>
      <c r="L5">
        <v>0.5</v>
      </c>
      <c r="M5">
        <v>0.9</v>
      </c>
    </row>
    <row r="6" spans="1:13" x14ac:dyDescent="0.25">
      <c r="A6">
        <v>1</v>
      </c>
      <c r="B6">
        <v>0.8</v>
      </c>
      <c r="D6">
        <v>0.5</v>
      </c>
      <c r="E6">
        <v>1</v>
      </c>
      <c r="G6">
        <v>1</v>
      </c>
      <c r="H6">
        <v>0.9</v>
      </c>
      <c r="L6">
        <v>1</v>
      </c>
      <c r="M6">
        <v>0.8</v>
      </c>
    </row>
    <row r="7" spans="1:13" x14ac:dyDescent="0.25">
      <c r="A7">
        <v>1</v>
      </c>
      <c r="B7">
        <v>0.8</v>
      </c>
      <c r="D7">
        <v>1</v>
      </c>
      <c r="E7">
        <v>0.8</v>
      </c>
      <c r="G7">
        <v>1</v>
      </c>
      <c r="H7">
        <v>1</v>
      </c>
      <c r="L7">
        <v>1</v>
      </c>
      <c r="M7">
        <v>0.8</v>
      </c>
    </row>
    <row r="8" spans="1:13" x14ac:dyDescent="0.25">
      <c r="A8">
        <v>1</v>
      </c>
      <c r="B8">
        <v>0.8</v>
      </c>
      <c r="D8">
        <v>1</v>
      </c>
      <c r="E8">
        <v>1</v>
      </c>
      <c r="G8">
        <v>1</v>
      </c>
      <c r="H8">
        <v>0.9</v>
      </c>
      <c r="L8">
        <v>1</v>
      </c>
      <c r="M8">
        <v>0.8</v>
      </c>
    </row>
    <row r="9" spans="1:13" x14ac:dyDescent="0.25">
      <c r="A9">
        <v>1</v>
      </c>
      <c r="B9">
        <v>0.8</v>
      </c>
      <c r="D9">
        <v>1</v>
      </c>
      <c r="E9">
        <v>1</v>
      </c>
      <c r="G9">
        <v>1</v>
      </c>
      <c r="H9">
        <v>0.8</v>
      </c>
      <c r="L9">
        <v>1</v>
      </c>
      <c r="M9">
        <v>0.8</v>
      </c>
    </row>
    <row r="10" spans="1:13" x14ac:dyDescent="0.25">
      <c r="A10">
        <v>0.67</v>
      </c>
      <c r="B10">
        <v>0.8</v>
      </c>
      <c r="D10">
        <v>1</v>
      </c>
      <c r="E10">
        <v>1</v>
      </c>
      <c r="G10">
        <v>1</v>
      </c>
      <c r="H10">
        <v>0.8</v>
      </c>
      <c r="L10">
        <v>0.67</v>
      </c>
      <c r="M10">
        <v>0.8</v>
      </c>
    </row>
    <row r="11" spans="1:13" x14ac:dyDescent="0.25">
      <c r="A11">
        <v>1</v>
      </c>
      <c r="B11">
        <v>1</v>
      </c>
      <c r="D11">
        <v>1</v>
      </c>
      <c r="E11">
        <v>0.8</v>
      </c>
      <c r="G11">
        <v>1</v>
      </c>
      <c r="H11">
        <v>0.8</v>
      </c>
      <c r="L11">
        <v>1</v>
      </c>
      <c r="M11">
        <v>1</v>
      </c>
    </row>
    <row r="12" spans="1:13" x14ac:dyDescent="0.25">
      <c r="A12">
        <v>0</v>
      </c>
      <c r="B12">
        <v>0.8</v>
      </c>
      <c r="D12">
        <v>1</v>
      </c>
      <c r="E12">
        <v>0.8</v>
      </c>
      <c r="G12">
        <v>1</v>
      </c>
      <c r="H12">
        <v>0.8</v>
      </c>
      <c r="L12">
        <v>0</v>
      </c>
      <c r="M12">
        <v>0.8</v>
      </c>
    </row>
    <row r="13" spans="1:13" x14ac:dyDescent="0.25">
      <c r="A13">
        <v>0.67</v>
      </c>
      <c r="B13">
        <v>0.8</v>
      </c>
      <c r="D13">
        <v>0.5</v>
      </c>
      <c r="E13">
        <v>0.8</v>
      </c>
      <c r="G13">
        <v>1</v>
      </c>
      <c r="H13">
        <v>0.9</v>
      </c>
      <c r="L13">
        <v>0.67</v>
      </c>
      <c r="M13">
        <v>0.8</v>
      </c>
    </row>
    <row r="14" spans="1:13" x14ac:dyDescent="0.25">
      <c r="A14">
        <v>1</v>
      </c>
      <c r="B14">
        <v>0.8</v>
      </c>
      <c r="G14">
        <v>1</v>
      </c>
      <c r="H14">
        <v>0.9</v>
      </c>
      <c r="L14">
        <v>1</v>
      </c>
      <c r="M14">
        <v>0.8</v>
      </c>
    </row>
    <row r="15" spans="1:13" x14ac:dyDescent="0.25">
      <c r="A15">
        <v>1</v>
      </c>
      <c r="B15">
        <v>1</v>
      </c>
      <c r="G15">
        <v>1</v>
      </c>
      <c r="H15">
        <v>0.8</v>
      </c>
      <c r="L15">
        <v>1</v>
      </c>
      <c r="M15">
        <v>1</v>
      </c>
    </row>
    <row r="16" spans="1:13" x14ac:dyDescent="0.25">
      <c r="A16">
        <v>0.67</v>
      </c>
      <c r="B16">
        <v>1</v>
      </c>
      <c r="G16">
        <v>1</v>
      </c>
      <c r="H16">
        <v>0.8</v>
      </c>
      <c r="L16">
        <v>0.67</v>
      </c>
      <c r="M16">
        <v>1</v>
      </c>
    </row>
    <row r="17" spans="1:16" x14ac:dyDescent="0.25">
      <c r="A17">
        <v>1</v>
      </c>
      <c r="B17">
        <v>0.8</v>
      </c>
      <c r="G17">
        <v>0.75</v>
      </c>
      <c r="H17">
        <v>0.8</v>
      </c>
      <c r="L17">
        <v>1</v>
      </c>
      <c r="M17">
        <v>0.8</v>
      </c>
    </row>
    <row r="18" spans="1:16" x14ac:dyDescent="0.25">
      <c r="A18">
        <v>0.5</v>
      </c>
      <c r="B18">
        <v>0.8</v>
      </c>
      <c r="L18">
        <v>0.5</v>
      </c>
      <c r="M18">
        <v>0.8</v>
      </c>
    </row>
    <row r="19" spans="1:16" x14ac:dyDescent="0.25">
      <c r="A19">
        <v>1</v>
      </c>
      <c r="B19">
        <v>0.9</v>
      </c>
      <c r="L19">
        <v>1</v>
      </c>
      <c r="M19">
        <v>0.9</v>
      </c>
    </row>
    <row r="20" spans="1:16" x14ac:dyDescent="0.25">
      <c r="A20">
        <v>1</v>
      </c>
      <c r="B20">
        <v>0.8</v>
      </c>
      <c r="L20">
        <v>1</v>
      </c>
      <c r="M20">
        <v>0.8</v>
      </c>
    </row>
    <row r="21" spans="1:16" x14ac:dyDescent="0.25">
      <c r="A21">
        <v>1</v>
      </c>
      <c r="B21">
        <v>0.8</v>
      </c>
      <c r="L21">
        <v>1</v>
      </c>
      <c r="M21">
        <v>0.8</v>
      </c>
    </row>
    <row r="22" spans="1:16" x14ac:dyDescent="0.25">
      <c r="A22">
        <v>1</v>
      </c>
      <c r="B22">
        <v>0.8</v>
      </c>
      <c r="L22">
        <v>1</v>
      </c>
      <c r="M22">
        <v>0.8</v>
      </c>
    </row>
    <row r="23" spans="1:16" x14ac:dyDescent="0.25">
      <c r="A23">
        <v>0.67</v>
      </c>
      <c r="B23">
        <v>0.8</v>
      </c>
      <c r="L23">
        <v>0.67</v>
      </c>
      <c r="M23">
        <v>0.8</v>
      </c>
    </row>
    <row r="24" spans="1:16" x14ac:dyDescent="0.25">
      <c r="A24">
        <v>1</v>
      </c>
      <c r="B24">
        <v>0.8</v>
      </c>
      <c r="L24">
        <v>1</v>
      </c>
      <c r="M24">
        <v>0.8</v>
      </c>
    </row>
    <row r="25" spans="1:16" x14ac:dyDescent="0.25">
      <c r="A25">
        <v>0.67</v>
      </c>
      <c r="B25">
        <v>0.8</v>
      </c>
      <c r="L25">
        <v>0.67</v>
      </c>
      <c r="M25">
        <v>0.8</v>
      </c>
    </row>
    <row r="26" spans="1:16" x14ac:dyDescent="0.25">
      <c r="L26">
        <v>0.33</v>
      </c>
      <c r="M26">
        <v>0.8</v>
      </c>
    </row>
    <row r="27" spans="1:16" x14ac:dyDescent="0.25">
      <c r="L27">
        <v>1</v>
      </c>
      <c r="M27">
        <v>0.8</v>
      </c>
      <c r="O27" t="s">
        <v>275</v>
      </c>
    </row>
    <row r="28" spans="1:16" x14ac:dyDescent="0.25">
      <c r="L28">
        <v>1</v>
      </c>
      <c r="M28">
        <v>1</v>
      </c>
      <c r="O28" t="s">
        <v>276</v>
      </c>
      <c r="P28" t="s">
        <v>277</v>
      </c>
    </row>
    <row r="29" spans="1:16" x14ac:dyDescent="0.25">
      <c r="L29">
        <v>1</v>
      </c>
      <c r="M29">
        <v>0.9</v>
      </c>
    </row>
    <row r="30" spans="1:16" x14ac:dyDescent="0.25">
      <c r="L30">
        <v>0.5</v>
      </c>
      <c r="M30">
        <v>1</v>
      </c>
    </row>
    <row r="31" spans="1:16" x14ac:dyDescent="0.25">
      <c r="L31">
        <v>1</v>
      </c>
      <c r="M31">
        <v>0.8</v>
      </c>
    </row>
    <row r="32" spans="1:16" x14ac:dyDescent="0.25">
      <c r="L32">
        <v>1</v>
      </c>
      <c r="M32">
        <v>1</v>
      </c>
      <c r="O32" t="s">
        <v>278</v>
      </c>
    </row>
    <row r="33" spans="1:16" x14ac:dyDescent="0.25">
      <c r="A33">
        <v>1</v>
      </c>
      <c r="B33">
        <v>1</v>
      </c>
      <c r="D33">
        <v>1</v>
      </c>
      <c r="E33">
        <v>1</v>
      </c>
      <c r="G33">
        <v>1</v>
      </c>
      <c r="H33">
        <v>1</v>
      </c>
      <c r="L33">
        <v>1</v>
      </c>
      <c r="M33">
        <v>1</v>
      </c>
      <c r="O33">
        <v>1</v>
      </c>
      <c r="P33">
        <v>1</v>
      </c>
    </row>
    <row r="34" spans="1:16" x14ac:dyDescent="0.25">
      <c r="L34">
        <v>1</v>
      </c>
      <c r="M34">
        <v>1</v>
      </c>
    </row>
    <row r="35" spans="1:16" x14ac:dyDescent="0.25">
      <c r="L35">
        <v>1</v>
      </c>
      <c r="M35">
        <v>0.8</v>
      </c>
    </row>
    <row r="36" spans="1:16" x14ac:dyDescent="0.25">
      <c r="B36" t="s">
        <v>281</v>
      </c>
      <c r="C36" t="s">
        <v>282</v>
      </c>
      <c r="D36" t="s">
        <v>283</v>
      </c>
      <c r="E36" t="s">
        <v>284</v>
      </c>
      <c r="F36" t="s">
        <v>285</v>
      </c>
      <c r="G36" t="s">
        <v>286</v>
      </c>
      <c r="H36" t="s">
        <v>287</v>
      </c>
      <c r="I36" t="s">
        <v>288</v>
      </c>
      <c r="L36">
        <v>1</v>
      </c>
      <c r="M36">
        <v>0.8</v>
      </c>
    </row>
    <row r="37" spans="1:16" x14ac:dyDescent="0.25">
      <c r="A37" t="s">
        <v>280</v>
      </c>
      <c r="B37">
        <f>AVERAGE(A3:A25)</f>
        <v>0.81956521739130439</v>
      </c>
      <c r="C37">
        <f>AVERAGE(B3:B25)</f>
        <v>0.84347826086956545</v>
      </c>
      <c r="D37">
        <f>AVERAGE(D3:D13)</f>
        <v>0.90909090909090906</v>
      </c>
      <c r="E37">
        <f>AVERAGE(E3:E13)</f>
        <v>0.90000000000000024</v>
      </c>
      <c r="F37">
        <f>AVERAGE(G3:G17)</f>
        <v>0.95</v>
      </c>
      <c r="G37">
        <f>AVERAGE(H3:H17)</f>
        <v>0.8533333333333335</v>
      </c>
      <c r="H37">
        <f>AVERAGE(L3:L52)</f>
        <v>0.86860000000000004</v>
      </c>
      <c r="I37">
        <f>AVERAGE(M3:M52)</f>
        <v>0.85799999999999965</v>
      </c>
      <c r="L37">
        <v>0.5</v>
      </c>
      <c r="M37">
        <v>0.8</v>
      </c>
    </row>
    <row r="38" spans="1:16" x14ac:dyDescent="0.25">
      <c r="A38" t="s">
        <v>279</v>
      </c>
      <c r="B38">
        <v>1</v>
      </c>
      <c r="C38">
        <v>1</v>
      </c>
      <c r="D38">
        <v>1</v>
      </c>
      <c r="E38">
        <v>1</v>
      </c>
      <c r="F38">
        <v>1</v>
      </c>
      <c r="G38">
        <v>1</v>
      </c>
      <c r="H38">
        <v>1</v>
      </c>
      <c r="I38">
        <v>1</v>
      </c>
      <c r="L38">
        <v>1</v>
      </c>
      <c r="M38">
        <v>0.8</v>
      </c>
    </row>
    <row r="39" spans="1:16" x14ac:dyDescent="0.25">
      <c r="L39">
        <v>1</v>
      </c>
      <c r="M39">
        <v>0.8</v>
      </c>
    </row>
    <row r="40" spans="1:16" x14ac:dyDescent="0.25">
      <c r="L40">
        <v>0.5</v>
      </c>
      <c r="M40">
        <v>1</v>
      </c>
    </row>
    <row r="41" spans="1:16" x14ac:dyDescent="0.25">
      <c r="L41">
        <v>1</v>
      </c>
      <c r="M41">
        <v>0.9</v>
      </c>
    </row>
    <row r="42" spans="1:16" x14ac:dyDescent="0.25">
      <c r="L42">
        <v>1</v>
      </c>
      <c r="M42">
        <v>1</v>
      </c>
    </row>
    <row r="43" spans="1:16" x14ac:dyDescent="0.25">
      <c r="L43">
        <v>1</v>
      </c>
      <c r="M43">
        <v>0.9</v>
      </c>
    </row>
    <row r="44" spans="1:16" x14ac:dyDescent="0.25">
      <c r="L44">
        <v>1</v>
      </c>
      <c r="M44">
        <v>0.8</v>
      </c>
    </row>
    <row r="45" spans="1:16" x14ac:dyDescent="0.25">
      <c r="L45">
        <v>1</v>
      </c>
      <c r="M45">
        <v>0.8</v>
      </c>
    </row>
    <row r="46" spans="1:16" x14ac:dyDescent="0.25">
      <c r="L46">
        <v>1</v>
      </c>
      <c r="M46">
        <v>0.8</v>
      </c>
    </row>
    <row r="47" spans="1:16" x14ac:dyDescent="0.25">
      <c r="L47">
        <v>1</v>
      </c>
      <c r="M47">
        <v>0.8</v>
      </c>
    </row>
    <row r="48" spans="1:16" x14ac:dyDescent="0.25">
      <c r="L48">
        <v>1</v>
      </c>
      <c r="M48">
        <v>0.9</v>
      </c>
    </row>
    <row r="49" spans="12:13" x14ac:dyDescent="0.25">
      <c r="L49">
        <v>1</v>
      </c>
      <c r="M49">
        <v>0.9</v>
      </c>
    </row>
    <row r="50" spans="12:13" x14ac:dyDescent="0.25">
      <c r="L50">
        <v>1</v>
      </c>
      <c r="M50">
        <v>0.8</v>
      </c>
    </row>
    <row r="51" spans="12:13" x14ac:dyDescent="0.25">
      <c r="L51">
        <v>1</v>
      </c>
      <c r="M51">
        <v>0.8</v>
      </c>
    </row>
    <row r="52" spans="12:13" x14ac:dyDescent="0.25">
      <c r="L52">
        <v>0.75</v>
      </c>
      <c r="M52">
        <v>0.8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Mads Nyborg Jespersen</cp:lastModifiedBy>
  <dcterms:created xsi:type="dcterms:W3CDTF">2025-12-11T08:43:51Z</dcterms:created>
  <dcterms:modified xsi:type="dcterms:W3CDTF">2025-12-11T09:26:47Z</dcterms:modified>
</cp:coreProperties>
</file>